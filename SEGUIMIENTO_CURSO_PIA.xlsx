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Imparticion" sheetId="2" r:id="rId2"/>
    <sheet name="Actividades" sheetId="3" r:id="rId3"/>
    <sheet name="Registro_Notas" sheetId="4" r:id="rId4"/>
    <sheet name="Resumen_Alumno" sheetId="5" r:id="rId5"/>
    <sheet name="Listas" sheetId="6" r:id="rId6"/>
  </sheets>
  <calcPr calcMode="auto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</sheetView>
  </sheetViews>
  <cols>
    <col min="1" max="1" width="24" customWidth="1"/>
    <col min="2" max="2" width="120" customWidth="1"/>
  </cols>
  <sheetFormatPr defaultRowHeight="15"/>
  <sheetData>
    <row r="1">
      <c r="A1" t="inlineStr" s="1">
        <is>
          <t>Hoja</t>
        </is>
      </c>
      <c r="B1" t="inlineStr" s="1">
        <is>
          <t>Uso</t>
        </is>
      </c>
    </row>
    <row r="2">
      <c r="A2" t="inlineStr">
        <is>
          <t>Imparticion</t>
        </is>
      </c>
      <c r="B2" t="inlineStr">
        <is>
          <t>Marcar qué partes del temario se han impartido, fechas, sesiones reales y observaciones por grupo.</t>
        </is>
      </c>
    </row>
    <row r="3">
      <c r="A3" t="inlineStr">
        <is>
          <t>Actividades</t>
        </is>
      </c>
      <c r="B3" t="inlineStr">
        <is>
          <t>Catálogo operativo de prácticas, cuestionarios y rúbricas detectadas en 03-practicas y 04-evaluacion.</t>
        </is>
      </c>
    </row>
    <row r="4">
      <c r="A4" t="inlineStr">
        <is>
          <t>Registro_Notas</t>
        </is>
      </c>
      <c r="B4" t="inlineStr">
        <is>
          <t>Registrar por alumno y actividad: entrega, corrección, nota, peso y observaciones. La nota ponderada se calcula automáticamente.</t>
        </is>
      </c>
    </row>
    <row r="5">
      <c r="A5" t="inlineStr">
        <is>
          <t>Resumen_Alumno</t>
        </is>
      </c>
      <c r="B5" t="inlineStr">
        <is>
          <t>Calcular medias por alumno a partir de Registro_Notas. Escribir alumnado en la columna Alumno.</t>
        </is>
      </c>
    </row>
    <row r="6">
      <c r="A6" t="inlineStr">
        <is>
          <t>Listas</t>
        </is>
      </c>
      <c r="B6" t="inlineStr">
        <is>
          <t>Valores recomendados para estados.</t>
        </is>
      </c>
    </row>
    <row r="7">
      <c r="A7" t="inlineStr">
        <is>
          <t>Nota</t>
        </is>
      </c>
      <c r="B7" t="inlineStr">
        <is>
          <t>Para trazabilidad RA/CE detallada, usar junto con TRAZABILIDAD_CALIFICACIONES_RA_CE.xlsx.</t>
        </is>
      </c>
    </row>
  </sheetData>
  <autoFilter ref="A1:B7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0"/>
  <sheetViews>
    <sheetView workbookViewId="0">
      <pane ySplit="1" topLeftCell="A2" activePane="bottomLeft" state="frozen"/>
    </sheetView>
  </sheetViews>
  <cols>
    <col min="1" max="1" width="10" customWidth="1"/>
    <col min="2" max="2" width="32" customWidth="1"/>
    <col min="3" max="3" width="24" customWidth="1"/>
    <col min="4" max="4" width="16" customWidth="1"/>
    <col min="5" max="5" width="55" customWidth="1"/>
    <col min="6" max="6" width="16" customWidth="1"/>
    <col min="7" max="7" width="14" customWidth="1"/>
    <col min="8" max="8" width="14" customWidth="1"/>
    <col min="9" max="9" width="18" customWidth="1"/>
    <col min="10" max="10" width="16" customWidth="1"/>
    <col min="11" max="11" width="14" customWidth="1"/>
    <col min="12" max="12" width="45" customWidth="1"/>
    <col min="13" max="13" width="45" customWidth="1"/>
  </cols>
  <sheetFormatPr defaultRowHeight="15"/>
  <sheetData>
    <row r="1">
      <c r="A1" t="inlineStr" s="1">
        <is>
          <t>Unidad</t>
        </is>
      </c>
      <c r="B1" t="inlineStr" s="1">
        <is>
          <t>Título unidad</t>
        </is>
      </c>
      <c r="C1" t="inlineStr" s="1">
        <is>
          <t>Parte/Bloque</t>
        </is>
      </c>
      <c r="D1" t="inlineStr" s="1">
        <is>
          <t>Tipo</t>
        </is>
      </c>
      <c r="E1" t="inlineStr" s="1">
        <is>
          <t>Ruta</t>
        </is>
      </c>
      <c r="F1" t="inlineStr" s="1">
        <is>
          <t>Estado</t>
        </is>
      </c>
      <c r="G1" t="inlineStr" s="1">
        <is>
          <t>Fecha inicio</t>
        </is>
      </c>
      <c r="H1" t="inlineStr" s="1">
        <is>
          <t>Fecha fin</t>
        </is>
      </c>
      <c r="I1" t="inlineStr" s="1">
        <is>
          <t>Sesiones previstas</t>
        </is>
      </c>
      <c r="J1" t="inlineStr" s="1">
        <is>
          <t>Sesiones reales</t>
        </is>
      </c>
      <c r="K1" t="inlineStr" s="1">
        <is>
          <t>Grupo</t>
        </is>
      </c>
      <c r="L1" t="inlineStr" s="1">
        <is>
          <t>Observaciones</t>
        </is>
      </c>
      <c r="M1" t="inlineStr" s="1">
        <is>
          <t>Próxima acción</t>
        </is>
      </c>
    </row>
    <row r="2">
      <c r="A2" t="inlineStr">
        <is>
          <t>01</t>
        </is>
      </c>
      <c r="B2" t="inlineStr">
        <is>
          <t>01 - Fundamentos de Python</t>
        </is>
      </c>
      <c r="C2" t="inlineStr">
        <is>
          <t>Índice / presentación</t>
        </is>
      </c>
      <c r="D2" t="inlineStr">
        <is>
          <t>documentación</t>
        </is>
      </c>
      <c r="E2" t="inlineStr">
        <is>
          <t>01-fundamentos-python/README.md</t>
        </is>
      </c>
      <c r="F2" t="inlineStr">
        <is>
          <t>Pendiente</t>
        </is>
      </c>
      <c r="G2"/>
      <c r="H2"/>
      <c r="I2"/>
      <c r="J2"/>
      <c r="K2"/>
      <c r="L2"/>
      <c r="M2"/>
    </row>
    <row r="3">
      <c r="A3" t="inlineStr">
        <is>
          <t>01</t>
        </is>
      </c>
      <c r="B3" t="inlineStr">
        <is>
          <t>01 - Fundamentos de Python</t>
        </is>
      </c>
      <c r="C3" t="inlineStr">
        <is>
          <t>Teoría</t>
        </is>
      </c>
      <c r="D3" t="inlineStr">
        <is>
          <t>teoría</t>
        </is>
      </c>
      <c r="E3" t="inlineStr">
        <is>
          <t>01-fundamentos-python/01-teoria</t>
        </is>
      </c>
      <c r="F3" t="inlineStr">
        <is>
          <t>Pendiente</t>
        </is>
      </c>
      <c r="G3"/>
      <c r="H3"/>
      <c r="I3"/>
      <c r="J3"/>
      <c r="K3"/>
      <c r="L3"/>
      <c r="M3"/>
    </row>
    <row r="4">
      <c r="A4" t="inlineStr">
        <is>
          <t>01</t>
        </is>
      </c>
      <c r="B4" t="inlineStr">
        <is>
          <t>01 - Fundamentos de Python</t>
        </is>
      </c>
      <c r="C4" t="inlineStr">
        <is>
          <t>Ejemplos</t>
        </is>
      </c>
      <c r="D4" t="inlineStr">
        <is>
          <t>ejemplo</t>
        </is>
      </c>
      <c r="E4" t="inlineStr">
        <is>
          <t>01-fundamentos-python/02-ejemplos</t>
        </is>
      </c>
      <c r="F4" t="inlineStr">
        <is>
          <t>Pendiente</t>
        </is>
      </c>
      <c r="G4"/>
      <c r="H4"/>
      <c r="I4"/>
      <c r="J4"/>
      <c r="K4"/>
      <c r="L4"/>
      <c r="M4"/>
    </row>
    <row r="5">
      <c r="A5" t="inlineStr">
        <is>
          <t>01</t>
        </is>
      </c>
      <c r="B5" t="inlineStr">
        <is>
          <t>01 - Fundamentos de Python</t>
        </is>
      </c>
      <c r="C5" t="inlineStr">
        <is>
          <t>Prácticas</t>
        </is>
      </c>
      <c r="D5" t="inlineStr">
        <is>
          <t>práctica</t>
        </is>
      </c>
      <c r="E5" t="inlineStr">
        <is>
          <t>01-fundamentos-python/03-practicas</t>
        </is>
      </c>
      <c r="F5" t="inlineStr">
        <is>
          <t>Pendiente</t>
        </is>
      </c>
      <c r="G5"/>
      <c r="H5"/>
      <c r="I5"/>
      <c r="J5"/>
      <c r="K5"/>
      <c r="L5"/>
      <c r="M5"/>
    </row>
    <row r="6">
      <c r="A6" t="inlineStr">
        <is>
          <t>01</t>
        </is>
      </c>
      <c r="B6" t="inlineStr">
        <is>
          <t>01 - Fundamentos de Python</t>
        </is>
      </c>
      <c r="C6" t="inlineStr">
        <is>
          <t>Evaluación</t>
        </is>
      </c>
      <c r="D6" t="inlineStr">
        <is>
          <t>evaluación</t>
        </is>
      </c>
      <c r="E6" t="inlineStr">
        <is>
          <t>01-fundamentos-python/04-evaluacion</t>
        </is>
      </c>
      <c r="F6" t="inlineStr">
        <is>
          <t>Pendiente</t>
        </is>
      </c>
      <c r="G6"/>
      <c r="H6"/>
      <c r="I6"/>
      <c r="J6"/>
      <c r="K6"/>
      <c r="L6"/>
      <c r="M6"/>
    </row>
    <row r="7">
      <c r="A7" t="inlineStr">
        <is>
          <t>01</t>
        </is>
      </c>
      <c r="B7" t="inlineStr">
        <is>
          <t>01 - Fundamentos de Python</t>
        </is>
      </c>
      <c r="C7" t="inlineStr">
        <is>
          <t>Recursos</t>
        </is>
      </c>
      <c r="D7" t="inlineStr">
        <is>
          <t>recurso</t>
        </is>
      </c>
      <c r="E7" t="inlineStr">
        <is>
          <t>01-fundamentos-python/05-recursos</t>
        </is>
      </c>
      <c r="F7" t="inlineStr">
        <is>
          <t>Pendiente</t>
        </is>
      </c>
      <c r="G7"/>
      <c r="H7"/>
      <c r="I7"/>
      <c r="J7"/>
      <c r="K7"/>
      <c r="L7"/>
      <c r="M7"/>
    </row>
    <row r="8">
      <c r="A8" t="inlineStr">
        <is>
          <t>01</t>
        </is>
      </c>
      <c r="B8" t="inlineStr">
        <is>
          <t>01 - Fundamentos de Python</t>
        </is>
      </c>
      <c r="C8" t="inlineStr">
        <is>
          <t>Archivo interno</t>
        </is>
      </c>
      <c r="D8" t="inlineStr">
        <is>
          <t>archivo</t>
        </is>
      </c>
      <c r="E8" t="inlineStr">
        <is>
          <t>01-fundamentos-python/90-archivo</t>
        </is>
      </c>
      <c r="F8" t="inlineStr">
        <is>
          <t>Pendiente</t>
        </is>
      </c>
      <c r="G8"/>
      <c r="H8"/>
      <c r="I8"/>
      <c r="J8"/>
      <c r="K8"/>
      <c r="L8"/>
      <c r="M8"/>
    </row>
    <row r="9">
      <c r="A9" t="inlineStr">
        <is>
          <t>02</t>
        </is>
      </c>
      <c r="B9" t="inlineStr">
        <is>
          <t>02 — Tratamiento de Datos</t>
        </is>
      </c>
      <c r="C9" t="inlineStr">
        <is>
          <t>Índice / presentación</t>
        </is>
      </c>
      <c r="D9" t="inlineStr">
        <is>
          <t>documentación</t>
        </is>
      </c>
      <c r="E9" t="inlineStr">
        <is>
          <t>02-tratamiento-datos/README.md</t>
        </is>
      </c>
      <c r="F9" t="inlineStr">
        <is>
          <t>Pendiente</t>
        </is>
      </c>
      <c r="G9"/>
      <c r="H9"/>
      <c r="I9"/>
      <c r="J9"/>
      <c r="K9"/>
      <c r="L9"/>
      <c r="M9"/>
    </row>
    <row r="10">
      <c r="A10" t="inlineStr">
        <is>
          <t>02</t>
        </is>
      </c>
      <c r="B10" t="inlineStr">
        <is>
          <t>02 — Tratamiento de Datos</t>
        </is>
      </c>
      <c r="C10" t="inlineStr">
        <is>
          <t>Teoría</t>
        </is>
      </c>
      <c r="D10" t="inlineStr">
        <is>
          <t>teoría</t>
        </is>
      </c>
      <c r="E10" t="inlineStr">
        <is>
          <t>02-tratamiento-datos/01-teoria</t>
        </is>
      </c>
      <c r="F10" t="inlineStr">
        <is>
          <t>Pendiente</t>
        </is>
      </c>
      <c r="G10"/>
      <c r="H10"/>
      <c r="I10"/>
      <c r="J10"/>
      <c r="K10"/>
      <c r="L10"/>
      <c r="M10"/>
    </row>
    <row r="11">
      <c r="A11" t="inlineStr">
        <is>
          <t>02</t>
        </is>
      </c>
      <c r="B11" t="inlineStr">
        <is>
          <t>02 — Tratamiento de Datos</t>
        </is>
      </c>
      <c r="C11" t="inlineStr">
        <is>
          <t>Ejemplos</t>
        </is>
      </c>
      <c r="D11" t="inlineStr">
        <is>
          <t>ejemplo</t>
        </is>
      </c>
      <c r="E11" t="inlineStr">
        <is>
          <t>02-tratamiento-datos/02-ejemplos</t>
        </is>
      </c>
      <c r="F11" t="inlineStr">
        <is>
          <t>Pendiente</t>
        </is>
      </c>
      <c r="G11"/>
      <c r="H11"/>
      <c r="I11"/>
      <c r="J11"/>
      <c r="K11"/>
      <c r="L11"/>
      <c r="M11"/>
    </row>
    <row r="12">
      <c r="A12" t="inlineStr">
        <is>
          <t>02</t>
        </is>
      </c>
      <c r="B12" t="inlineStr">
        <is>
          <t>02 — Tratamiento de Datos</t>
        </is>
      </c>
      <c r="C12" t="inlineStr">
        <is>
          <t>Prácticas</t>
        </is>
      </c>
      <c r="D12" t="inlineStr">
        <is>
          <t>práctica</t>
        </is>
      </c>
      <c r="E12" t="inlineStr">
        <is>
          <t>02-tratamiento-datos/03-practicas</t>
        </is>
      </c>
      <c r="F12" t="inlineStr">
        <is>
          <t>Pendiente</t>
        </is>
      </c>
      <c r="G12"/>
      <c r="H12"/>
      <c r="I12"/>
      <c r="J12"/>
      <c r="K12"/>
      <c r="L12"/>
      <c r="M12"/>
    </row>
    <row r="13">
      <c r="A13" t="inlineStr">
        <is>
          <t>02</t>
        </is>
      </c>
      <c r="B13" t="inlineStr">
        <is>
          <t>02 — Tratamiento de Datos</t>
        </is>
      </c>
      <c r="C13" t="inlineStr">
        <is>
          <t>Evaluación</t>
        </is>
      </c>
      <c r="D13" t="inlineStr">
        <is>
          <t>evaluación</t>
        </is>
      </c>
      <c r="E13" t="inlineStr">
        <is>
          <t>02-tratamiento-datos/04-evaluacion</t>
        </is>
      </c>
      <c r="F13" t="inlineStr">
        <is>
          <t>Pendiente</t>
        </is>
      </c>
      <c r="G13"/>
      <c r="H13"/>
      <c r="I13"/>
      <c r="J13"/>
      <c r="K13"/>
      <c r="L13"/>
      <c r="M13"/>
    </row>
    <row r="14">
      <c r="A14" t="inlineStr">
        <is>
          <t>02</t>
        </is>
      </c>
      <c r="B14" t="inlineStr">
        <is>
          <t>02 — Tratamiento de Datos</t>
        </is>
      </c>
      <c r="C14" t="inlineStr">
        <is>
          <t>Recursos</t>
        </is>
      </c>
      <c r="D14" t="inlineStr">
        <is>
          <t>recurso</t>
        </is>
      </c>
      <c r="E14" t="inlineStr">
        <is>
          <t>02-tratamiento-datos/05-recursos</t>
        </is>
      </c>
      <c r="F14" t="inlineStr">
        <is>
          <t>Pendiente</t>
        </is>
      </c>
      <c r="G14"/>
      <c r="H14"/>
      <c r="I14"/>
      <c r="J14"/>
      <c r="K14"/>
      <c r="L14"/>
      <c r="M14"/>
    </row>
    <row r="15">
      <c r="A15" t="inlineStr">
        <is>
          <t>02</t>
        </is>
      </c>
      <c r="B15" t="inlineStr">
        <is>
          <t>02 — Tratamiento de Datos</t>
        </is>
      </c>
      <c r="C15" t="inlineStr">
        <is>
          <t>Archivo interno</t>
        </is>
      </c>
      <c r="D15" t="inlineStr">
        <is>
          <t>archivo</t>
        </is>
      </c>
      <c r="E15" t="inlineStr">
        <is>
          <t>02-tratamiento-datos/90-archivo</t>
        </is>
      </c>
      <c r="F15" t="inlineStr">
        <is>
          <t>Pendiente</t>
        </is>
      </c>
      <c r="G15"/>
      <c r="H15"/>
      <c r="I15"/>
      <c r="J15"/>
      <c r="K15"/>
      <c r="L15"/>
      <c r="M15"/>
    </row>
    <row r="16">
      <c r="A16" t="inlineStr">
        <is>
          <t>03</t>
        </is>
      </c>
      <c r="B16" t="inlineStr">
        <is>
          <t>03 - Machine Learning</t>
        </is>
      </c>
      <c r="C16" t="inlineStr">
        <is>
          <t>Índice / presentación</t>
        </is>
      </c>
      <c r="D16" t="inlineStr">
        <is>
          <t>documentación</t>
        </is>
      </c>
      <c r="E16" t="inlineStr">
        <is>
          <t>03-machine-learning/README.md</t>
        </is>
      </c>
      <c r="F16" t="inlineStr">
        <is>
          <t>Pendiente</t>
        </is>
      </c>
      <c r="G16"/>
      <c r="H16"/>
      <c r="I16"/>
      <c r="J16"/>
      <c r="K16"/>
      <c r="L16"/>
      <c r="M16"/>
    </row>
    <row r="17">
      <c r="A17" t="inlineStr">
        <is>
          <t>03</t>
        </is>
      </c>
      <c r="B17" t="inlineStr">
        <is>
          <t>03 - Machine Learning</t>
        </is>
      </c>
      <c r="C17" t="inlineStr">
        <is>
          <t>Teoría</t>
        </is>
      </c>
      <c r="D17" t="inlineStr">
        <is>
          <t>teoría</t>
        </is>
      </c>
      <c r="E17" t="inlineStr">
        <is>
          <t>03-machine-learning/01-teoria</t>
        </is>
      </c>
      <c r="F17" t="inlineStr">
        <is>
          <t>Pendiente</t>
        </is>
      </c>
      <c r="G17"/>
      <c r="H17"/>
      <c r="I17"/>
      <c r="J17"/>
      <c r="K17"/>
      <c r="L17"/>
      <c r="M17"/>
    </row>
    <row r="18">
      <c r="A18" t="inlineStr">
        <is>
          <t>03</t>
        </is>
      </c>
      <c r="B18" t="inlineStr">
        <is>
          <t>03 - Machine Learning</t>
        </is>
      </c>
      <c r="C18" t="inlineStr">
        <is>
          <t>Ejemplos</t>
        </is>
      </c>
      <c r="D18" t="inlineStr">
        <is>
          <t>ejemplo</t>
        </is>
      </c>
      <c r="E18" t="inlineStr">
        <is>
          <t>03-machine-learning/02-ejemplos</t>
        </is>
      </c>
      <c r="F18" t="inlineStr">
        <is>
          <t>Pendiente</t>
        </is>
      </c>
      <c r="G18"/>
      <c r="H18"/>
      <c r="I18"/>
      <c r="J18"/>
      <c r="K18"/>
      <c r="L18"/>
      <c r="M18"/>
    </row>
    <row r="19">
      <c r="A19" t="inlineStr">
        <is>
          <t>03</t>
        </is>
      </c>
      <c r="B19" t="inlineStr">
        <is>
          <t>03 - Machine Learning</t>
        </is>
      </c>
      <c r="C19" t="inlineStr">
        <is>
          <t>Prácticas</t>
        </is>
      </c>
      <c r="D19" t="inlineStr">
        <is>
          <t>práctica</t>
        </is>
      </c>
      <c r="E19" t="inlineStr">
        <is>
          <t>03-machine-learning/03-practicas</t>
        </is>
      </c>
      <c r="F19" t="inlineStr">
        <is>
          <t>Pendiente</t>
        </is>
      </c>
      <c r="G19"/>
      <c r="H19"/>
      <c r="I19"/>
      <c r="J19"/>
      <c r="K19"/>
      <c r="L19"/>
      <c r="M19"/>
    </row>
    <row r="20">
      <c r="A20" t="inlineStr">
        <is>
          <t>03</t>
        </is>
      </c>
      <c r="B20" t="inlineStr">
        <is>
          <t>03 - Machine Learning</t>
        </is>
      </c>
      <c r="C20" t="inlineStr">
        <is>
          <t>Evaluación</t>
        </is>
      </c>
      <c r="D20" t="inlineStr">
        <is>
          <t>evaluación</t>
        </is>
      </c>
      <c r="E20" t="inlineStr">
        <is>
          <t>03-machine-learning/04-evaluacion</t>
        </is>
      </c>
      <c r="F20" t="inlineStr">
        <is>
          <t>Pendiente</t>
        </is>
      </c>
      <c r="G20"/>
      <c r="H20"/>
      <c r="I20"/>
      <c r="J20"/>
      <c r="K20"/>
      <c r="L20"/>
      <c r="M20"/>
    </row>
    <row r="21">
      <c r="A21" t="inlineStr">
        <is>
          <t>03</t>
        </is>
      </c>
      <c r="B21" t="inlineStr">
        <is>
          <t>03 - Machine Learning</t>
        </is>
      </c>
      <c r="C21" t="inlineStr">
        <is>
          <t>Recursos</t>
        </is>
      </c>
      <c r="D21" t="inlineStr">
        <is>
          <t>recurso</t>
        </is>
      </c>
      <c r="E21" t="inlineStr">
        <is>
          <t>03-machine-learning/05-recursos</t>
        </is>
      </c>
      <c r="F21" t="inlineStr">
        <is>
          <t>Pendiente</t>
        </is>
      </c>
      <c r="G21"/>
      <c r="H21"/>
      <c r="I21"/>
      <c r="J21"/>
      <c r="K21"/>
      <c r="L21"/>
      <c r="M21"/>
    </row>
    <row r="22">
      <c r="A22" t="inlineStr">
        <is>
          <t>03</t>
        </is>
      </c>
      <c r="B22" t="inlineStr">
        <is>
          <t>03 - Machine Learning</t>
        </is>
      </c>
      <c r="C22" t="inlineStr">
        <is>
          <t>Archivo interno</t>
        </is>
      </c>
      <c r="D22" t="inlineStr">
        <is>
          <t>archivo</t>
        </is>
      </c>
      <c r="E22" t="inlineStr">
        <is>
          <t>03-machine-learning/90-archivo</t>
        </is>
      </c>
      <c r="F22" t="inlineStr">
        <is>
          <t>Pendiente</t>
        </is>
      </c>
      <c r="G22"/>
      <c r="H22"/>
      <c r="I22"/>
      <c r="J22"/>
      <c r="K22"/>
      <c r="L22"/>
      <c r="M22"/>
    </row>
    <row r="23">
      <c r="A23" t="inlineStr">
        <is>
          <t>04</t>
        </is>
      </c>
      <c r="B23" t="inlineStr">
        <is>
          <t>04 - Deep Learning</t>
        </is>
      </c>
      <c r="C23" t="inlineStr">
        <is>
          <t>Índice / presentación</t>
        </is>
      </c>
      <c r="D23" t="inlineStr">
        <is>
          <t>documentación</t>
        </is>
      </c>
      <c r="E23" t="inlineStr">
        <is>
          <t>04-deep-learning/README.md</t>
        </is>
      </c>
      <c r="F23" t="inlineStr">
        <is>
          <t>Pendiente</t>
        </is>
      </c>
      <c r="G23"/>
      <c r="H23"/>
      <c r="I23"/>
      <c r="J23"/>
      <c r="K23"/>
      <c r="L23"/>
      <c r="M23"/>
    </row>
    <row r="24">
      <c r="A24" t="inlineStr">
        <is>
          <t>04</t>
        </is>
      </c>
      <c r="B24" t="inlineStr">
        <is>
          <t>04 - Deep Learning</t>
        </is>
      </c>
      <c r="C24" t="inlineStr">
        <is>
          <t>Teoría</t>
        </is>
      </c>
      <c r="D24" t="inlineStr">
        <is>
          <t>teoría</t>
        </is>
      </c>
      <c r="E24" t="inlineStr">
        <is>
          <t>04-deep-learning/01-teoria</t>
        </is>
      </c>
      <c r="F24" t="inlineStr">
        <is>
          <t>Pendiente</t>
        </is>
      </c>
      <c r="G24"/>
      <c r="H24"/>
      <c r="I24"/>
      <c r="J24"/>
      <c r="K24"/>
      <c r="L24"/>
      <c r="M24"/>
    </row>
    <row r="25">
      <c r="A25" t="inlineStr">
        <is>
          <t>04</t>
        </is>
      </c>
      <c r="B25" t="inlineStr">
        <is>
          <t>04 - Deep Learning</t>
        </is>
      </c>
      <c r="C25" t="inlineStr">
        <is>
          <t>Ejemplos</t>
        </is>
      </c>
      <c r="D25" t="inlineStr">
        <is>
          <t>ejemplo</t>
        </is>
      </c>
      <c r="E25" t="inlineStr">
        <is>
          <t>04-deep-learning/02-ejemplos</t>
        </is>
      </c>
      <c r="F25" t="inlineStr">
        <is>
          <t>Pendiente</t>
        </is>
      </c>
      <c r="G25"/>
      <c r="H25"/>
      <c r="I25"/>
      <c r="J25"/>
      <c r="K25"/>
      <c r="L25"/>
      <c r="M25"/>
    </row>
    <row r="26">
      <c r="A26" t="inlineStr">
        <is>
          <t>04</t>
        </is>
      </c>
      <c r="B26" t="inlineStr">
        <is>
          <t>04 - Deep Learning</t>
        </is>
      </c>
      <c r="C26" t="inlineStr">
        <is>
          <t>Prácticas</t>
        </is>
      </c>
      <c r="D26" t="inlineStr">
        <is>
          <t>práctica</t>
        </is>
      </c>
      <c r="E26" t="inlineStr">
        <is>
          <t>04-deep-learning/03-practicas</t>
        </is>
      </c>
      <c r="F26" t="inlineStr">
        <is>
          <t>Pendiente</t>
        </is>
      </c>
      <c r="G26"/>
      <c r="H26"/>
      <c r="I26"/>
      <c r="J26"/>
      <c r="K26"/>
      <c r="L26"/>
      <c r="M26"/>
    </row>
    <row r="27">
      <c r="A27" t="inlineStr">
        <is>
          <t>04</t>
        </is>
      </c>
      <c r="B27" t="inlineStr">
        <is>
          <t>04 - Deep Learning</t>
        </is>
      </c>
      <c r="C27" t="inlineStr">
        <is>
          <t>Evaluación</t>
        </is>
      </c>
      <c r="D27" t="inlineStr">
        <is>
          <t>evaluación</t>
        </is>
      </c>
      <c r="E27" t="inlineStr">
        <is>
          <t>04-deep-learning/04-evaluacion</t>
        </is>
      </c>
      <c r="F27" t="inlineStr">
        <is>
          <t>Pendiente</t>
        </is>
      </c>
      <c r="G27"/>
      <c r="H27"/>
      <c r="I27"/>
      <c r="J27"/>
      <c r="K27"/>
      <c r="L27"/>
      <c r="M27"/>
    </row>
    <row r="28">
      <c r="A28" t="inlineStr">
        <is>
          <t>04</t>
        </is>
      </c>
      <c r="B28" t="inlineStr">
        <is>
          <t>04 - Deep Learning</t>
        </is>
      </c>
      <c r="C28" t="inlineStr">
        <is>
          <t>Recursos</t>
        </is>
      </c>
      <c r="D28" t="inlineStr">
        <is>
          <t>recurso</t>
        </is>
      </c>
      <c r="E28" t="inlineStr">
        <is>
          <t>04-deep-learning/05-recursos</t>
        </is>
      </c>
      <c r="F28" t="inlineStr">
        <is>
          <t>Pendiente</t>
        </is>
      </c>
      <c r="G28"/>
      <c r="H28"/>
      <c r="I28"/>
      <c r="J28"/>
      <c r="K28"/>
      <c r="L28"/>
      <c r="M28"/>
    </row>
    <row r="29">
      <c r="A29" t="inlineStr">
        <is>
          <t>04</t>
        </is>
      </c>
      <c r="B29" t="inlineStr">
        <is>
          <t>04 - Deep Learning</t>
        </is>
      </c>
      <c r="C29" t="inlineStr">
        <is>
          <t>Archivo interno</t>
        </is>
      </c>
      <c r="D29" t="inlineStr">
        <is>
          <t>archivo</t>
        </is>
      </c>
      <c r="E29" t="inlineStr">
        <is>
          <t>04-deep-learning/90-archivo</t>
        </is>
      </c>
      <c r="F29" t="inlineStr">
        <is>
          <t>Pendiente</t>
        </is>
      </c>
      <c r="G29"/>
      <c r="H29"/>
      <c r="I29"/>
      <c r="J29"/>
      <c r="K29"/>
      <c r="L29"/>
      <c r="M29"/>
    </row>
    <row r="30">
      <c r="A30" t="inlineStr">
        <is>
          <t>05</t>
        </is>
      </c>
      <c r="B30" t="inlineStr">
        <is>
          <t>05-cloud-mlops</t>
        </is>
      </c>
      <c r="C30" t="inlineStr">
        <is>
          <t>Índice / presentación</t>
        </is>
      </c>
      <c r="D30" t="inlineStr">
        <is>
          <t>documentación</t>
        </is>
      </c>
      <c r="E30" t="inlineStr">
        <is>
          <t>05-cloud-mlops/README.md</t>
        </is>
      </c>
      <c r="F30" t="inlineStr">
        <is>
          <t>Pendiente</t>
        </is>
      </c>
      <c r="G30"/>
      <c r="H30"/>
      <c r="I30"/>
      <c r="J30"/>
      <c r="K30"/>
      <c r="L30"/>
      <c r="M30"/>
    </row>
    <row r="31">
      <c r="A31" t="inlineStr">
        <is>
          <t>05</t>
        </is>
      </c>
      <c r="B31" t="inlineStr">
        <is>
          <t>05-cloud-mlops</t>
        </is>
      </c>
      <c r="C31" t="inlineStr">
        <is>
          <t>Teoría</t>
        </is>
      </c>
      <c r="D31" t="inlineStr">
        <is>
          <t>teoría</t>
        </is>
      </c>
      <c r="E31" t="inlineStr">
        <is>
          <t>05-cloud-mlops/01-teoria</t>
        </is>
      </c>
      <c r="F31" t="inlineStr">
        <is>
          <t>Pendiente</t>
        </is>
      </c>
      <c r="G31"/>
      <c r="H31"/>
      <c r="I31"/>
      <c r="J31"/>
      <c r="K31"/>
      <c r="L31"/>
      <c r="M31"/>
    </row>
    <row r="32">
      <c r="A32" t="inlineStr">
        <is>
          <t>05</t>
        </is>
      </c>
      <c r="B32" t="inlineStr">
        <is>
          <t>05-cloud-mlops</t>
        </is>
      </c>
      <c r="C32" t="inlineStr">
        <is>
          <t>Ejemplos</t>
        </is>
      </c>
      <c r="D32" t="inlineStr">
        <is>
          <t>ejemplo</t>
        </is>
      </c>
      <c r="E32" t="inlineStr">
        <is>
          <t>05-cloud-mlops/02-ejemplos</t>
        </is>
      </c>
      <c r="F32" t="inlineStr">
        <is>
          <t>Pendiente</t>
        </is>
      </c>
      <c r="G32"/>
      <c r="H32"/>
      <c r="I32"/>
      <c r="J32"/>
      <c r="K32"/>
      <c r="L32"/>
      <c r="M32"/>
    </row>
    <row r="33">
      <c r="A33" t="inlineStr">
        <is>
          <t>05</t>
        </is>
      </c>
      <c r="B33" t="inlineStr">
        <is>
          <t>05-cloud-mlops</t>
        </is>
      </c>
      <c r="C33" t="inlineStr">
        <is>
          <t>Prácticas</t>
        </is>
      </c>
      <c r="D33" t="inlineStr">
        <is>
          <t>práctica</t>
        </is>
      </c>
      <c r="E33" t="inlineStr">
        <is>
          <t>05-cloud-mlops/03-practicas</t>
        </is>
      </c>
      <c r="F33" t="inlineStr">
        <is>
          <t>Pendiente</t>
        </is>
      </c>
      <c r="G33"/>
      <c r="H33"/>
      <c r="I33"/>
      <c r="J33"/>
      <c r="K33"/>
      <c r="L33"/>
      <c r="M33"/>
    </row>
    <row r="34">
      <c r="A34" t="inlineStr">
        <is>
          <t>05</t>
        </is>
      </c>
      <c r="B34" t="inlineStr">
        <is>
          <t>05-cloud-mlops</t>
        </is>
      </c>
      <c r="C34" t="inlineStr">
        <is>
          <t>Evaluación</t>
        </is>
      </c>
      <c r="D34" t="inlineStr">
        <is>
          <t>evaluación</t>
        </is>
      </c>
      <c r="E34" t="inlineStr">
        <is>
          <t>05-cloud-mlops/04-evaluacion</t>
        </is>
      </c>
      <c r="F34" t="inlineStr">
        <is>
          <t>Pendiente</t>
        </is>
      </c>
      <c r="G34"/>
      <c r="H34"/>
      <c r="I34"/>
      <c r="J34"/>
      <c r="K34"/>
      <c r="L34"/>
      <c r="M34"/>
    </row>
    <row r="35">
      <c r="A35" t="inlineStr">
        <is>
          <t>05</t>
        </is>
      </c>
      <c r="B35" t="inlineStr">
        <is>
          <t>05-cloud-mlops</t>
        </is>
      </c>
      <c r="C35" t="inlineStr">
        <is>
          <t>Recursos</t>
        </is>
      </c>
      <c r="D35" t="inlineStr">
        <is>
          <t>recurso</t>
        </is>
      </c>
      <c r="E35" t="inlineStr">
        <is>
          <t>05-cloud-mlops/05-recursos</t>
        </is>
      </c>
      <c r="F35" t="inlineStr">
        <is>
          <t>Pendiente</t>
        </is>
      </c>
      <c r="G35"/>
      <c r="H35"/>
      <c r="I35"/>
      <c r="J35"/>
      <c r="K35"/>
      <c r="L35"/>
      <c r="M35"/>
    </row>
    <row r="36">
      <c r="A36" t="inlineStr">
        <is>
          <t>05</t>
        </is>
      </c>
      <c r="B36" t="inlineStr">
        <is>
          <t>05-cloud-mlops</t>
        </is>
      </c>
      <c r="C36" t="inlineStr">
        <is>
          <t>Archivo interno</t>
        </is>
      </c>
      <c r="D36" t="inlineStr">
        <is>
          <t>archivo</t>
        </is>
      </c>
      <c r="E36" t="inlineStr">
        <is>
          <t>05-cloud-mlops/90-archivo</t>
        </is>
      </c>
      <c r="F36" t="inlineStr">
        <is>
          <t>Pendiente</t>
        </is>
      </c>
      <c r="G36"/>
      <c r="H36"/>
      <c r="I36"/>
      <c r="J36"/>
      <c r="K36"/>
      <c r="L36"/>
      <c r="M36"/>
    </row>
    <row r="37">
      <c r="A37" t="inlineStr">
        <is>
          <t>06</t>
        </is>
      </c>
      <c r="B37" t="inlineStr">
        <is>
          <t>06-llm-agentes</t>
        </is>
      </c>
      <c r="C37" t="inlineStr">
        <is>
          <t>Índice / presentación</t>
        </is>
      </c>
      <c r="D37" t="inlineStr">
        <is>
          <t>documentación</t>
        </is>
      </c>
      <c r="E37" t="inlineStr">
        <is>
          <t>06-llm-agentes/README.md</t>
        </is>
      </c>
      <c r="F37" t="inlineStr">
        <is>
          <t>Pendiente</t>
        </is>
      </c>
      <c r="G37"/>
      <c r="H37"/>
      <c r="I37"/>
      <c r="J37"/>
      <c r="K37"/>
      <c r="L37"/>
      <c r="M37"/>
    </row>
    <row r="38">
      <c r="A38" t="inlineStr">
        <is>
          <t>06</t>
        </is>
      </c>
      <c r="B38" t="inlineStr">
        <is>
          <t>06-llm-agentes</t>
        </is>
      </c>
      <c r="C38" t="inlineStr">
        <is>
          <t>Teoría</t>
        </is>
      </c>
      <c r="D38" t="inlineStr">
        <is>
          <t>teoría</t>
        </is>
      </c>
      <c r="E38" t="inlineStr">
        <is>
          <t>06-llm-agentes/01-teoria</t>
        </is>
      </c>
      <c r="F38" t="inlineStr">
        <is>
          <t>Pendiente</t>
        </is>
      </c>
      <c r="G38"/>
      <c r="H38"/>
      <c r="I38"/>
      <c r="J38"/>
      <c r="K38"/>
      <c r="L38"/>
      <c r="M38"/>
    </row>
    <row r="39">
      <c r="A39" t="inlineStr">
        <is>
          <t>06</t>
        </is>
      </c>
      <c r="B39" t="inlineStr">
        <is>
          <t>06-llm-agentes</t>
        </is>
      </c>
      <c r="C39" t="inlineStr">
        <is>
          <t>Ejemplos</t>
        </is>
      </c>
      <c r="D39" t="inlineStr">
        <is>
          <t>ejemplo</t>
        </is>
      </c>
      <c r="E39" t="inlineStr">
        <is>
          <t>06-llm-agentes/02-ejemplos</t>
        </is>
      </c>
      <c r="F39" t="inlineStr">
        <is>
          <t>Pendiente</t>
        </is>
      </c>
      <c r="G39"/>
      <c r="H39"/>
      <c r="I39"/>
      <c r="J39"/>
      <c r="K39"/>
      <c r="L39"/>
      <c r="M39"/>
    </row>
    <row r="40">
      <c r="A40" t="inlineStr">
        <is>
          <t>06</t>
        </is>
      </c>
      <c r="B40" t="inlineStr">
        <is>
          <t>06-llm-agentes</t>
        </is>
      </c>
      <c r="C40" t="inlineStr">
        <is>
          <t>Prácticas</t>
        </is>
      </c>
      <c r="D40" t="inlineStr">
        <is>
          <t>práctica</t>
        </is>
      </c>
      <c r="E40" t="inlineStr">
        <is>
          <t>06-llm-agentes/03-practicas</t>
        </is>
      </c>
      <c r="F40" t="inlineStr">
        <is>
          <t>Pendiente</t>
        </is>
      </c>
      <c r="G40"/>
      <c r="H40"/>
      <c r="I40"/>
      <c r="J40"/>
      <c r="K40"/>
      <c r="L40"/>
      <c r="M40"/>
    </row>
    <row r="41">
      <c r="A41" t="inlineStr">
        <is>
          <t>06</t>
        </is>
      </c>
      <c r="B41" t="inlineStr">
        <is>
          <t>06-llm-agentes</t>
        </is>
      </c>
      <c r="C41" t="inlineStr">
        <is>
          <t>Evaluación</t>
        </is>
      </c>
      <c r="D41" t="inlineStr">
        <is>
          <t>evaluación</t>
        </is>
      </c>
      <c r="E41" t="inlineStr">
        <is>
          <t>06-llm-agentes/04-evaluacion</t>
        </is>
      </c>
      <c r="F41" t="inlineStr">
        <is>
          <t>Pendiente</t>
        </is>
      </c>
      <c r="G41"/>
      <c r="H41"/>
      <c r="I41"/>
      <c r="J41"/>
      <c r="K41"/>
      <c r="L41"/>
      <c r="M41"/>
    </row>
    <row r="42">
      <c r="A42" t="inlineStr">
        <is>
          <t>06</t>
        </is>
      </c>
      <c r="B42" t="inlineStr">
        <is>
          <t>06-llm-agentes</t>
        </is>
      </c>
      <c r="C42" t="inlineStr">
        <is>
          <t>Recursos</t>
        </is>
      </c>
      <c r="D42" t="inlineStr">
        <is>
          <t>recurso</t>
        </is>
      </c>
      <c r="E42" t="inlineStr">
        <is>
          <t>06-llm-agentes/05-recursos</t>
        </is>
      </c>
      <c r="F42" t="inlineStr">
        <is>
          <t>Pendiente</t>
        </is>
      </c>
      <c r="G42"/>
      <c r="H42"/>
      <c r="I42"/>
      <c r="J42"/>
      <c r="K42"/>
      <c r="L42"/>
      <c r="M42"/>
    </row>
    <row r="43">
      <c r="A43" t="inlineStr">
        <is>
          <t>06</t>
        </is>
      </c>
      <c r="B43" t="inlineStr">
        <is>
          <t>06-llm-agentes</t>
        </is>
      </c>
      <c r="C43" t="inlineStr">
        <is>
          <t>Archivo interno</t>
        </is>
      </c>
      <c r="D43" t="inlineStr">
        <is>
          <t>archivo</t>
        </is>
      </c>
      <c r="E43" t="inlineStr">
        <is>
          <t>06-llm-agentes/90-archivo</t>
        </is>
      </c>
      <c r="F43" t="inlineStr">
        <is>
          <t>Pendiente</t>
        </is>
      </c>
      <c r="G43"/>
      <c r="H43"/>
      <c r="I43"/>
      <c r="J43"/>
      <c r="K43"/>
      <c r="L43"/>
      <c r="M43"/>
    </row>
    <row r="44">
      <c r="A44" t="inlineStr">
        <is>
          <t>07</t>
        </is>
      </c>
      <c r="B44" t="inlineStr">
        <is>
          <t>UD7 — Convergencia de Herramientas IA</t>
        </is>
      </c>
      <c r="C44" t="inlineStr">
        <is>
          <t>Índice / presentación</t>
        </is>
      </c>
      <c r="D44" t="inlineStr">
        <is>
          <t>documentación</t>
        </is>
      </c>
      <c r="E44" t="inlineStr">
        <is>
          <t>07-convergencia-herramientas/README.md</t>
        </is>
      </c>
      <c r="F44" t="inlineStr">
        <is>
          <t>Pendiente</t>
        </is>
      </c>
      <c r="G44"/>
      <c r="H44"/>
      <c r="I44"/>
      <c r="J44"/>
      <c r="K44"/>
      <c r="L44"/>
      <c r="M44"/>
    </row>
    <row r="45">
      <c r="A45" t="inlineStr">
        <is>
          <t>07</t>
        </is>
      </c>
      <c r="B45" t="inlineStr">
        <is>
          <t>UD7 — Convergencia de Herramientas IA</t>
        </is>
      </c>
      <c r="C45" t="inlineStr">
        <is>
          <t>Teoría</t>
        </is>
      </c>
      <c r="D45" t="inlineStr">
        <is>
          <t>teoría</t>
        </is>
      </c>
      <c r="E45" t="inlineStr">
        <is>
          <t>07-convergencia-herramientas/01-teoria</t>
        </is>
      </c>
      <c r="F45" t="inlineStr">
        <is>
          <t>Pendiente</t>
        </is>
      </c>
      <c r="G45"/>
      <c r="H45"/>
      <c r="I45"/>
      <c r="J45"/>
      <c r="K45"/>
      <c r="L45"/>
      <c r="M45"/>
    </row>
    <row r="46">
      <c r="A46" t="inlineStr">
        <is>
          <t>07</t>
        </is>
      </c>
      <c r="B46" t="inlineStr">
        <is>
          <t>UD7 — Convergencia de Herramientas IA</t>
        </is>
      </c>
      <c r="C46" t="inlineStr">
        <is>
          <t>Ejemplos</t>
        </is>
      </c>
      <c r="D46" t="inlineStr">
        <is>
          <t>ejemplo</t>
        </is>
      </c>
      <c r="E46" t="inlineStr">
        <is>
          <t>07-convergencia-herramientas/02-ejemplos</t>
        </is>
      </c>
      <c r="F46" t="inlineStr">
        <is>
          <t>Pendiente</t>
        </is>
      </c>
      <c r="G46"/>
      <c r="H46"/>
      <c r="I46"/>
      <c r="J46"/>
      <c r="K46"/>
      <c r="L46"/>
      <c r="M46"/>
    </row>
    <row r="47">
      <c r="A47" t="inlineStr">
        <is>
          <t>07</t>
        </is>
      </c>
      <c r="B47" t="inlineStr">
        <is>
          <t>UD7 — Convergencia de Herramientas IA</t>
        </is>
      </c>
      <c r="C47" t="inlineStr">
        <is>
          <t>Prácticas</t>
        </is>
      </c>
      <c r="D47" t="inlineStr">
        <is>
          <t>práctica</t>
        </is>
      </c>
      <c r="E47" t="inlineStr">
        <is>
          <t>07-convergencia-herramientas/03-practicas</t>
        </is>
      </c>
      <c r="F47" t="inlineStr">
        <is>
          <t>Pendiente</t>
        </is>
      </c>
      <c r="G47"/>
      <c r="H47"/>
      <c r="I47"/>
      <c r="J47"/>
      <c r="K47"/>
      <c r="L47"/>
      <c r="M47"/>
    </row>
    <row r="48">
      <c r="A48" t="inlineStr">
        <is>
          <t>07</t>
        </is>
      </c>
      <c r="B48" t="inlineStr">
        <is>
          <t>UD7 — Convergencia de Herramientas IA</t>
        </is>
      </c>
      <c r="C48" t="inlineStr">
        <is>
          <t>Evaluación</t>
        </is>
      </c>
      <c r="D48" t="inlineStr">
        <is>
          <t>evaluación</t>
        </is>
      </c>
      <c r="E48" t="inlineStr">
        <is>
          <t>07-convergencia-herramientas/04-evaluacion</t>
        </is>
      </c>
      <c r="F48" t="inlineStr">
        <is>
          <t>Pendiente</t>
        </is>
      </c>
      <c r="G48"/>
      <c r="H48"/>
      <c r="I48"/>
      <c r="J48"/>
      <c r="K48"/>
      <c r="L48"/>
      <c r="M48"/>
    </row>
    <row r="49">
      <c r="A49" t="inlineStr">
        <is>
          <t>07</t>
        </is>
      </c>
      <c r="B49" t="inlineStr">
        <is>
          <t>UD7 — Convergencia de Herramientas IA</t>
        </is>
      </c>
      <c r="C49" t="inlineStr">
        <is>
          <t>Recursos</t>
        </is>
      </c>
      <c r="D49" t="inlineStr">
        <is>
          <t>recurso</t>
        </is>
      </c>
      <c r="E49" t="inlineStr">
        <is>
          <t>07-convergencia-herramientas/05-recursos</t>
        </is>
      </c>
      <c r="F49" t="inlineStr">
        <is>
          <t>Pendiente</t>
        </is>
      </c>
      <c r="G49"/>
      <c r="H49"/>
      <c r="I49"/>
      <c r="J49"/>
      <c r="K49"/>
      <c r="L49"/>
      <c r="M49"/>
    </row>
    <row r="50">
      <c r="A50" t="inlineStr">
        <is>
          <t>07</t>
        </is>
      </c>
      <c r="B50" t="inlineStr">
        <is>
          <t>UD7 — Convergencia de Herramientas IA</t>
        </is>
      </c>
      <c r="C50" t="inlineStr">
        <is>
          <t>Archivo interno</t>
        </is>
      </c>
      <c r="D50" t="inlineStr">
        <is>
          <t>archivo</t>
        </is>
      </c>
      <c r="E50" t="inlineStr">
        <is>
          <t>07-convergencia-herramientas/90-archivo</t>
        </is>
      </c>
      <c r="F50" t="inlineStr">
        <is>
          <t>Pendiente</t>
        </is>
      </c>
      <c r="G50"/>
      <c r="H50"/>
      <c r="I50"/>
      <c r="J50"/>
      <c r="K50"/>
      <c r="L50"/>
      <c r="M50"/>
    </row>
    <row r="51">
      <c r="A51" t="inlineStr">
        <is>
          <t>07</t>
        </is>
      </c>
      <c r="B51" t="inlineStr">
        <is>
          <t>UD7 — Convergencia de Herramientas IA</t>
        </is>
      </c>
      <c r="C51" t="inlineStr">
        <is>
          <t>Reports</t>
        </is>
      </c>
      <c r="D51" t="inlineStr">
        <is>
          <t>bloque</t>
        </is>
      </c>
      <c r="E51" t="inlineStr">
        <is>
          <t>07-convergencia-herramientas/reports</t>
        </is>
      </c>
      <c r="F51" t="inlineStr">
        <is>
          <t>Pendiente</t>
        </is>
      </c>
      <c r="G51"/>
      <c r="H51"/>
      <c r="I51"/>
      <c r="J51"/>
      <c r="K51"/>
      <c r="L51"/>
      <c r="M51"/>
    </row>
    <row r="52">
      <c r="A52" t="inlineStr">
        <is>
          <t>08</t>
        </is>
      </c>
      <c r="B52" t="inlineStr">
        <is>
          <t>08-vision-xai</t>
        </is>
      </c>
      <c r="C52" t="inlineStr">
        <is>
          <t>Índice / presentación</t>
        </is>
      </c>
      <c r="D52" t="inlineStr">
        <is>
          <t>documentación</t>
        </is>
      </c>
      <c r="E52" t="inlineStr">
        <is>
          <t>08-vision-xai/README.md</t>
        </is>
      </c>
      <c r="F52" t="inlineStr">
        <is>
          <t>Pendiente</t>
        </is>
      </c>
      <c r="G52"/>
      <c r="H52"/>
      <c r="I52"/>
      <c r="J52"/>
      <c r="K52"/>
      <c r="L52"/>
      <c r="M52"/>
    </row>
    <row r="53">
      <c r="A53" t="inlineStr">
        <is>
          <t>08</t>
        </is>
      </c>
      <c r="B53" t="inlineStr">
        <is>
          <t>08-vision-xai</t>
        </is>
      </c>
      <c r="C53" t="inlineStr">
        <is>
          <t>Teoría</t>
        </is>
      </c>
      <c r="D53" t="inlineStr">
        <is>
          <t>teoría</t>
        </is>
      </c>
      <c r="E53" t="inlineStr">
        <is>
          <t>08-vision-xai/01-teoria</t>
        </is>
      </c>
      <c r="F53" t="inlineStr">
        <is>
          <t>Pendiente</t>
        </is>
      </c>
      <c r="G53"/>
      <c r="H53"/>
      <c r="I53"/>
      <c r="J53"/>
      <c r="K53"/>
      <c r="L53"/>
      <c r="M53"/>
    </row>
    <row r="54">
      <c r="A54" t="inlineStr">
        <is>
          <t>08</t>
        </is>
      </c>
      <c r="B54" t="inlineStr">
        <is>
          <t>08-vision-xai</t>
        </is>
      </c>
      <c r="C54" t="inlineStr">
        <is>
          <t>Ejemplos</t>
        </is>
      </c>
      <c r="D54" t="inlineStr">
        <is>
          <t>ejemplo</t>
        </is>
      </c>
      <c r="E54" t="inlineStr">
        <is>
          <t>08-vision-xai/02-ejemplos</t>
        </is>
      </c>
      <c r="F54" t="inlineStr">
        <is>
          <t>Pendiente</t>
        </is>
      </c>
      <c r="G54"/>
      <c r="H54"/>
      <c r="I54"/>
      <c r="J54"/>
      <c r="K54"/>
      <c r="L54"/>
      <c r="M54"/>
    </row>
    <row r="55">
      <c r="A55" t="inlineStr">
        <is>
          <t>08</t>
        </is>
      </c>
      <c r="B55" t="inlineStr">
        <is>
          <t>08-vision-xai</t>
        </is>
      </c>
      <c r="C55" t="inlineStr">
        <is>
          <t>Prácticas</t>
        </is>
      </c>
      <c r="D55" t="inlineStr">
        <is>
          <t>práctica</t>
        </is>
      </c>
      <c r="E55" t="inlineStr">
        <is>
          <t>08-vision-xai/03-practicas</t>
        </is>
      </c>
      <c r="F55" t="inlineStr">
        <is>
          <t>Pendiente</t>
        </is>
      </c>
      <c r="G55"/>
      <c r="H55"/>
      <c r="I55"/>
      <c r="J55"/>
      <c r="K55"/>
      <c r="L55"/>
      <c r="M55"/>
    </row>
    <row r="56">
      <c r="A56" t="inlineStr">
        <is>
          <t>08</t>
        </is>
      </c>
      <c r="B56" t="inlineStr">
        <is>
          <t>08-vision-xai</t>
        </is>
      </c>
      <c r="C56" t="inlineStr">
        <is>
          <t>Evaluación</t>
        </is>
      </c>
      <c r="D56" t="inlineStr">
        <is>
          <t>evaluación</t>
        </is>
      </c>
      <c r="E56" t="inlineStr">
        <is>
          <t>08-vision-xai/04-evaluacion</t>
        </is>
      </c>
      <c r="F56" t="inlineStr">
        <is>
          <t>Pendiente</t>
        </is>
      </c>
      <c r="G56"/>
      <c r="H56"/>
      <c r="I56"/>
      <c r="J56"/>
      <c r="K56"/>
      <c r="L56"/>
      <c r="M56"/>
    </row>
    <row r="57">
      <c r="A57" t="inlineStr">
        <is>
          <t>08</t>
        </is>
      </c>
      <c r="B57" t="inlineStr">
        <is>
          <t>08-vision-xai</t>
        </is>
      </c>
      <c r="C57" t="inlineStr">
        <is>
          <t>Recursos</t>
        </is>
      </c>
      <c r="D57" t="inlineStr">
        <is>
          <t>recurso</t>
        </is>
      </c>
      <c r="E57" t="inlineStr">
        <is>
          <t>08-vision-xai/05-recursos</t>
        </is>
      </c>
      <c r="F57" t="inlineStr">
        <is>
          <t>Pendiente</t>
        </is>
      </c>
      <c r="G57"/>
      <c r="H57"/>
      <c r="I57"/>
      <c r="J57"/>
      <c r="K57"/>
      <c r="L57"/>
      <c r="M57"/>
    </row>
    <row r="58">
      <c r="A58" t="inlineStr">
        <is>
          <t>09</t>
        </is>
      </c>
      <c r="B58" t="inlineStr">
        <is>
          <t>UD9 — GPU Avanzado</t>
        </is>
      </c>
      <c r="C58" t="inlineStr">
        <is>
          <t>Índice / presentación</t>
        </is>
      </c>
      <c r="D58" t="inlineStr">
        <is>
          <t>documentación</t>
        </is>
      </c>
      <c r="E58" t="inlineStr">
        <is>
          <t>09-gpu-avanzado/README.md</t>
        </is>
      </c>
      <c r="F58" t="inlineStr">
        <is>
          <t>Pendiente</t>
        </is>
      </c>
      <c r="G58"/>
      <c r="H58"/>
      <c r="I58"/>
      <c r="J58"/>
      <c r="K58"/>
      <c r="L58"/>
      <c r="M58"/>
    </row>
    <row r="59">
      <c r="A59" t="inlineStr">
        <is>
          <t>09</t>
        </is>
      </c>
      <c r="B59" t="inlineStr">
        <is>
          <t>UD9 — GPU Avanzado</t>
        </is>
      </c>
      <c r="C59" t="inlineStr">
        <is>
          <t>Teoría</t>
        </is>
      </c>
      <c r="D59" t="inlineStr">
        <is>
          <t>teoría</t>
        </is>
      </c>
      <c r="E59" t="inlineStr">
        <is>
          <t>09-gpu-avanzado/01-teoria</t>
        </is>
      </c>
      <c r="F59" t="inlineStr">
        <is>
          <t>Pendiente</t>
        </is>
      </c>
      <c r="G59"/>
      <c r="H59"/>
      <c r="I59"/>
      <c r="J59"/>
      <c r="K59"/>
      <c r="L59"/>
      <c r="M59"/>
    </row>
    <row r="60">
      <c r="A60" t="inlineStr">
        <is>
          <t>09</t>
        </is>
      </c>
      <c r="B60" t="inlineStr">
        <is>
          <t>UD9 — GPU Avanzado</t>
        </is>
      </c>
      <c r="C60" t="inlineStr">
        <is>
          <t>Ejemplos</t>
        </is>
      </c>
      <c r="D60" t="inlineStr">
        <is>
          <t>ejemplo</t>
        </is>
      </c>
      <c r="E60" t="inlineStr">
        <is>
          <t>09-gpu-avanzado/02-ejemplos</t>
        </is>
      </c>
      <c r="F60" t="inlineStr">
        <is>
          <t>Pendiente</t>
        </is>
      </c>
      <c r="G60"/>
      <c r="H60"/>
      <c r="I60"/>
      <c r="J60"/>
      <c r="K60"/>
      <c r="L60"/>
      <c r="M60"/>
    </row>
    <row r="61">
      <c r="A61" t="inlineStr">
        <is>
          <t>09</t>
        </is>
      </c>
      <c r="B61" t="inlineStr">
        <is>
          <t>UD9 — GPU Avanzado</t>
        </is>
      </c>
      <c r="C61" t="inlineStr">
        <is>
          <t>Prácticas</t>
        </is>
      </c>
      <c r="D61" t="inlineStr">
        <is>
          <t>práctica</t>
        </is>
      </c>
      <c r="E61" t="inlineStr">
        <is>
          <t>09-gpu-avanzado/03-practicas</t>
        </is>
      </c>
      <c r="F61" t="inlineStr">
        <is>
          <t>Pendiente</t>
        </is>
      </c>
      <c r="G61"/>
      <c r="H61"/>
      <c r="I61"/>
      <c r="J61"/>
      <c r="K61"/>
      <c r="L61"/>
      <c r="M61"/>
    </row>
    <row r="62">
      <c r="A62" t="inlineStr">
        <is>
          <t>09</t>
        </is>
      </c>
      <c r="B62" t="inlineStr">
        <is>
          <t>UD9 — GPU Avanzado</t>
        </is>
      </c>
      <c r="C62" t="inlineStr">
        <is>
          <t>Evaluación</t>
        </is>
      </c>
      <c r="D62" t="inlineStr">
        <is>
          <t>evaluación</t>
        </is>
      </c>
      <c r="E62" t="inlineStr">
        <is>
          <t>09-gpu-avanzado/04-evaluacion</t>
        </is>
      </c>
      <c r="F62" t="inlineStr">
        <is>
          <t>Pendiente</t>
        </is>
      </c>
      <c r="G62"/>
      <c r="H62"/>
      <c r="I62"/>
      <c r="J62"/>
      <c r="K62"/>
      <c r="L62"/>
      <c r="M62"/>
    </row>
    <row r="63">
      <c r="A63" t="inlineStr">
        <is>
          <t>09</t>
        </is>
      </c>
      <c r="B63" t="inlineStr">
        <is>
          <t>UD9 — GPU Avanzado</t>
        </is>
      </c>
      <c r="C63" t="inlineStr">
        <is>
          <t>Recursos</t>
        </is>
      </c>
      <c r="D63" t="inlineStr">
        <is>
          <t>recurso</t>
        </is>
      </c>
      <c r="E63" t="inlineStr">
        <is>
          <t>09-gpu-avanzado/05-recursos</t>
        </is>
      </c>
      <c r="F63" t="inlineStr">
        <is>
          <t>Pendiente</t>
        </is>
      </c>
      <c r="G63"/>
      <c r="H63"/>
      <c r="I63"/>
      <c r="J63"/>
      <c r="K63"/>
      <c r="L63"/>
      <c r="M63"/>
    </row>
    <row r="64">
      <c r="A64" t="inlineStr">
        <is>
          <t>09</t>
        </is>
      </c>
      <c r="B64" t="inlineStr">
        <is>
          <t>UD9 — GPU Avanzado</t>
        </is>
      </c>
      <c r="C64" t="inlineStr">
        <is>
          <t>Archivo interno</t>
        </is>
      </c>
      <c r="D64" t="inlineStr">
        <is>
          <t>archivo</t>
        </is>
      </c>
      <c r="E64" t="inlineStr">
        <is>
          <t>09-gpu-avanzado/90-archivo</t>
        </is>
      </c>
      <c r="F64" t="inlineStr">
        <is>
          <t>Pendiente</t>
        </is>
      </c>
      <c r="G64"/>
      <c r="H64"/>
      <c r="I64"/>
      <c r="J64"/>
      <c r="K64"/>
      <c r="L64"/>
      <c r="M64"/>
    </row>
    <row r="65">
      <c r="A65" t="inlineStr">
        <is>
          <t>10</t>
        </is>
      </c>
      <c r="B65" t="inlineStr">
        <is>
          <t>10-series-temporales</t>
        </is>
      </c>
      <c r="C65" t="inlineStr">
        <is>
          <t>Índice / presentación</t>
        </is>
      </c>
      <c r="D65" t="inlineStr">
        <is>
          <t>documentación</t>
        </is>
      </c>
      <c r="E65" t="inlineStr">
        <is>
          <t>10-series-temporales/README.md</t>
        </is>
      </c>
      <c r="F65" t="inlineStr">
        <is>
          <t>Pendiente</t>
        </is>
      </c>
      <c r="G65"/>
      <c r="H65"/>
      <c r="I65"/>
      <c r="J65"/>
      <c r="K65"/>
      <c r="L65"/>
      <c r="M65"/>
    </row>
    <row r="66">
      <c r="A66" t="inlineStr">
        <is>
          <t>10</t>
        </is>
      </c>
      <c r="B66" t="inlineStr">
        <is>
          <t>10-series-temporales</t>
        </is>
      </c>
      <c r="C66" t="inlineStr">
        <is>
          <t>Teoría</t>
        </is>
      </c>
      <c r="D66" t="inlineStr">
        <is>
          <t>teoría</t>
        </is>
      </c>
      <c r="E66" t="inlineStr">
        <is>
          <t>10-series-temporales/01-teoria</t>
        </is>
      </c>
      <c r="F66" t="inlineStr">
        <is>
          <t>Pendiente</t>
        </is>
      </c>
      <c r="G66"/>
      <c r="H66"/>
      <c r="I66"/>
      <c r="J66"/>
      <c r="K66"/>
      <c r="L66"/>
      <c r="M66"/>
    </row>
    <row r="67">
      <c r="A67" t="inlineStr">
        <is>
          <t>10</t>
        </is>
      </c>
      <c r="B67" t="inlineStr">
        <is>
          <t>10-series-temporales</t>
        </is>
      </c>
      <c r="C67" t="inlineStr">
        <is>
          <t>Ejemplos</t>
        </is>
      </c>
      <c r="D67" t="inlineStr">
        <is>
          <t>ejemplo</t>
        </is>
      </c>
      <c r="E67" t="inlineStr">
        <is>
          <t>10-series-temporales/02-ejemplos</t>
        </is>
      </c>
      <c r="F67" t="inlineStr">
        <is>
          <t>Pendiente</t>
        </is>
      </c>
      <c r="G67"/>
      <c r="H67"/>
      <c r="I67"/>
      <c r="J67"/>
      <c r="K67"/>
      <c r="L67"/>
      <c r="M67"/>
    </row>
    <row r="68">
      <c r="A68" t="inlineStr">
        <is>
          <t>10</t>
        </is>
      </c>
      <c r="B68" t="inlineStr">
        <is>
          <t>10-series-temporales</t>
        </is>
      </c>
      <c r="C68" t="inlineStr">
        <is>
          <t>Prácticas</t>
        </is>
      </c>
      <c r="D68" t="inlineStr">
        <is>
          <t>práctica</t>
        </is>
      </c>
      <c r="E68" t="inlineStr">
        <is>
          <t>10-series-temporales/03-practicas</t>
        </is>
      </c>
      <c r="F68" t="inlineStr">
        <is>
          <t>Pendiente</t>
        </is>
      </c>
      <c r="G68"/>
      <c r="H68"/>
      <c r="I68"/>
      <c r="J68"/>
      <c r="K68"/>
      <c r="L68"/>
      <c r="M68"/>
    </row>
    <row r="69">
      <c r="A69" t="inlineStr">
        <is>
          <t>10</t>
        </is>
      </c>
      <c r="B69" t="inlineStr">
        <is>
          <t>10-series-temporales</t>
        </is>
      </c>
      <c r="C69" t="inlineStr">
        <is>
          <t>Evaluación</t>
        </is>
      </c>
      <c r="D69" t="inlineStr">
        <is>
          <t>evaluación</t>
        </is>
      </c>
      <c r="E69" t="inlineStr">
        <is>
          <t>10-series-temporales/04-evaluacion</t>
        </is>
      </c>
      <c r="F69" t="inlineStr">
        <is>
          <t>Pendiente</t>
        </is>
      </c>
      <c r="G69"/>
      <c r="H69"/>
      <c r="I69"/>
      <c r="J69"/>
      <c r="K69"/>
      <c r="L69"/>
      <c r="M69"/>
    </row>
    <row r="70">
      <c r="A70" t="inlineStr">
        <is>
          <t>10</t>
        </is>
      </c>
      <c r="B70" t="inlineStr">
        <is>
          <t>10-series-temporales</t>
        </is>
      </c>
      <c r="C70" t="inlineStr">
        <is>
          <t>Recursos</t>
        </is>
      </c>
      <c r="D70" t="inlineStr">
        <is>
          <t>recurso</t>
        </is>
      </c>
      <c r="E70" t="inlineStr">
        <is>
          <t>10-series-temporales/05-recursos</t>
        </is>
      </c>
      <c r="F70" t="inlineStr">
        <is>
          <t>Pendiente</t>
        </is>
      </c>
      <c r="G70"/>
      <c r="H70"/>
      <c r="I70"/>
      <c r="J70"/>
      <c r="K70"/>
      <c r="L70"/>
      <c r="M70"/>
    </row>
    <row r="71">
      <c r="A71" t="inlineStr">
        <is>
          <t>11</t>
        </is>
      </c>
      <c r="B71" t="inlineStr">
        <is>
          <t>11-anexos</t>
        </is>
      </c>
      <c r="C71" t="inlineStr">
        <is>
          <t>Índice / presentación</t>
        </is>
      </c>
      <c r="D71" t="inlineStr">
        <is>
          <t>documentación</t>
        </is>
      </c>
      <c r="E71" t="inlineStr">
        <is>
          <t>11-anexos/README.md</t>
        </is>
      </c>
      <c r="F71" t="inlineStr">
        <is>
          <t>Pendiente</t>
        </is>
      </c>
      <c r="G71"/>
      <c r="H71"/>
      <c r="I71"/>
      <c r="J71"/>
      <c r="K71"/>
      <c r="L71"/>
      <c r="M71"/>
    </row>
    <row r="72">
      <c r="A72" t="inlineStr">
        <is>
          <t>11</t>
        </is>
      </c>
      <c r="B72" t="inlineStr">
        <is>
          <t>11-anexos</t>
        </is>
      </c>
      <c r="C72" t="inlineStr">
        <is>
          <t>Teoría</t>
        </is>
      </c>
      <c r="D72" t="inlineStr">
        <is>
          <t>teoría</t>
        </is>
      </c>
      <c r="E72" t="inlineStr">
        <is>
          <t>11-anexos/01-teoria</t>
        </is>
      </c>
      <c r="F72" t="inlineStr">
        <is>
          <t>Pendiente</t>
        </is>
      </c>
      <c r="G72"/>
      <c r="H72"/>
      <c r="I72"/>
      <c r="J72"/>
      <c r="K72"/>
      <c r="L72"/>
      <c r="M72"/>
    </row>
    <row r="73">
      <c r="A73" t="inlineStr">
        <is>
          <t>11</t>
        </is>
      </c>
      <c r="B73" t="inlineStr">
        <is>
          <t>11-anexos</t>
        </is>
      </c>
      <c r="C73" t="inlineStr">
        <is>
          <t>Ejemplos</t>
        </is>
      </c>
      <c r="D73" t="inlineStr">
        <is>
          <t>ejemplo</t>
        </is>
      </c>
      <c r="E73" t="inlineStr">
        <is>
          <t>11-anexos/02-ejemplos</t>
        </is>
      </c>
      <c r="F73" t="inlineStr">
        <is>
          <t>Pendiente</t>
        </is>
      </c>
      <c r="G73"/>
      <c r="H73"/>
      <c r="I73"/>
      <c r="J73"/>
      <c r="K73"/>
      <c r="L73"/>
      <c r="M73"/>
    </row>
    <row r="74">
      <c r="A74" t="inlineStr">
        <is>
          <t>11</t>
        </is>
      </c>
      <c r="B74" t="inlineStr">
        <is>
          <t>11-anexos</t>
        </is>
      </c>
      <c r="C74" t="inlineStr">
        <is>
          <t>Prácticas</t>
        </is>
      </c>
      <c r="D74" t="inlineStr">
        <is>
          <t>práctica</t>
        </is>
      </c>
      <c r="E74" t="inlineStr">
        <is>
          <t>11-anexos/03-practicas</t>
        </is>
      </c>
      <c r="F74" t="inlineStr">
        <is>
          <t>Pendiente</t>
        </is>
      </c>
      <c r="G74"/>
      <c r="H74"/>
      <c r="I74"/>
      <c r="J74"/>
      <c r="K74"/>
      <c r="L74"/>
      <c r="M74"/>
    </row>
    <row r="75">
      <c r="A75" t="inlineStr">
        <is>
          <t>11</t>
        </is>
      </c>
      <c r="B75" t="inlineStr">
        <is>
          <t>11-anexos</t>
        </is>
      </c>
      <c r="C75" t="inlineStr">
        <is>
          <t>Evaluación</t>
        </is>
      </c>
      <c r="D75" t="inlineStr">
        <is>
          <t>evaluación</t>
        </is>
      </c>
      <c r="E75" t="inlineStr">
        <is>
          <t>11-anexos/04-evaluacion</t>
        </is>
      </c>
      <c r="F75" t="inlineStr">
        <is>
          <t>Pendiente</t>
        </is>
      </c>
      <c r="G75"/>
      <c r="H75"/>
      <c r="I75"/>
      <c r="J75"/>
      <c r="K75"/>
      <c r="L75"/>
      <c r="M75"/>
    </row>
    <row r="76">
      <c r="A76" t="inlineStr">
        <is>
          <t>11</t>
        </is>
      </c>
      <c r="B76" t="inlineStr">
        <is>
          <t>11-anexos</t>
        </is>
      </c>
      <c r="C76" t="inlineStr">
        <is>
          <t>Recursos</t>
        </is>
      </c>
      <c r="D76" t="inlineStr">
        <is>
          <t>recurso</t>
        </is>
      </c>
      <c r="E76" t="inlineStr">
        <is>
          <t>11-anexos/05-recursos</t>
        </is>
      </c>
      <c r="F76" t="inlineStr">
        <is>
          <t>Pendiente</t>
        </is>
      </c>
      <c r="G76"/>
      <c r="H76"/>
      <c r="I76"/>
      <c r="J76"/>
      <c r="K76"/>
      <c r="L76"/>
      <c r="M76"/>
    </row>
    <row r="77">
      <c r="A77" t="inlineStr">
        <is>
          <t>11</t>
        </is>
      </c>
      <c r="B77" t="inlineStr">
        <is>
          <t>11-anexos</t>
        </is>
      </c>
      <c r="C77" t="inlineStr">
        <is>
          <t>Archivo interno</t>
        </is>
      </c>
      <c r="D77" t="inlineStr">
        <is>
          <t>archivo</t>
        </is>
      </c>
      <c r="E77" t="inlineStr">
        <is>
          <t>11-anexos/90-archivo</t>
        </is>
      </c>
      <c r="F77" t="inlineStr">
        <is>
          <t>Pendiente</t>
        </is>
      </c>
      <c r="G77"/>
      <c r="H77"/>
      <c r="I77"/>
      <c r="J77"/>
      <c r="K77"/>
      <c r="L77"/>
      <c r="M77"/>
    </row>
    <row r="78">
      <c r="A78" t="inlineStr">
        <is>
          <t>12</t>
        </is>
      </c>
      <c r="B78" t="inlineStr">
        <is>
          <t>12-proyecto-integrado</t>
        </is>
      </c>
      <c r="C78" t="inlineStr">
        <is>
          <t>Índice / presentación</t>
        </is>
      </c>
      <c r="D78" t="inlineStr">
        <is>
          <t>documentación</t>
        </is>
      </c>
      <c r="E78" t="inlineStr">
        <is>
          <t>12-proyecto-integrado/README.md</t>
        </is>
      </c>
      <c r="F78" t="inlineStr">
        <is>
          <t>Pendiente</t>
        </is>
      </c>
      <c r="G78"/>
      <c r="H78"/>
      <c r="I78"/>
      <c r="J78"/>
      <c r="K78"/>
      <c r="L78"/>
      <c r="M78"/>
    </row>
    <row r="79">
      <c r="A79" t="inlineStr">
        <is>
          <t>12</t>
        </is>
      </c>
      <c r="B79" t="inlineStr">
        <is>
          <t>12-proyecto-integrado</t>
        </is>
      </c>
      <c r="C79" t="inlineStr">
        <is>
          <t>Teoría</t>
        </is>
      </c>
      <c r="D79" t="inlineStr">
        <is>
          <t>teoría</t>
        </is>
      </c>
      <c r="E79" t="inlineStr">
        <is>
          <t>12-proyecto-integrado/01-teoria</t>
        </is>
      </c>
      <c r="F79" t="inlineStr">
        <is>
          <t>Pendiente</t>
        </is>
      </c>
      <c r="G79"/>
      <c r="H79"/>
      <c r="I79"/>
      <c r="J79"/>
      <c r="K79"/>
      <c r="L79"/>
      <c r="M79"/>
    </row>
    <row r="80">
      <c r="A80" t="inlineStr">
        <is>
          <t>12</t>
        </is>
      </c>
      <c r="B80" t="inlineStr">
        <is>
          <t>12-proyecto-integrado</t>
        </is>
      </c>
      <c r="C80" t="inlineStr">
        <is>
          <t>Ejemplos</t>
        </is>
      </c>
      <c r="D80" t="inlineStr">
        <is>
          <t>ejemplo</t>
        </is>
      </c>
      <c r="E80" t="inlineStr">
        <is>
          <t>12-proyecto-integrado/02-ejemplos</t>
        </is>
      </c>
      <c r="F80" t="inlineStr">
        <is>
          <t>Pendiente</t>
        </is>
      </c>
      <c r="G80"/>
      <c r="H80"/>
      <c r="I80"/>
      <c r="J80"/>
      <c r="K80"/>
      <c r="L80"/>
      <c r="M80"/>
    </row>
    <row r="81">
      <c r="A81" t="inlineStr">
        <is>
          <t>12</t>
        </is>
      </c>
      <c r="B81" t="inlineStr">
        <is>
          <t>12-proyecto-integrado</t>
        </is>
      </c>
      <c r="C81" t="inlineStr">
        <is>
          <t>Prácticas</t>
        </is>
      </c>
      <c r="D81" t="inlineStr">
        <is>
          <t>práctica</t>
        </is>
      </c>
      <c r="E81" t="inlineStr">
        <is>
          <t>12-proyecto-integrado/03-practicas</t>
        </is>
      </c>
      <c r="F81" t="inlineStr">
        <is>
          <t>Pendiente</t>
        </is>
      </c>
      <c r="G81"/>
      <c r="H81"/>
      <c r="I81"/>
      <c r="J81"/>
      <c r="K81"/>
      <c r="L81"/>
      <c r="M81"/>
    </row>
    <row r="82">
      <c r="A82" t="inlineStr">
        <is>
          <t>12</t>
        </is>
      </c>
      <c r="B82" t="inlineStr">
        <is>
          <t>12-proyecto-integrado</t>
        </is>
      </c>
      <c r="C82" t="inlineStr">
        <is>
          <t>Evaluación</t>
        </is>
      </c>
      <c r="D82" t="inlineStr">
        <is>
          <t>evaluación</t>
        </is>
      </c>
      <c r="E82" t="inlineStr">
        <is>
          <t>12-proyecto-integrado/04-evaluacion</t>
        </is>
      </c>
      <c r="F82" t="inlineStr">
        <is>
          <t>Pendiente</t>
        </is>
      </c>
      <c r="G82"/>
      <c r="H82"/>
      <c r="I82"/>
      <c r="J82"/>
      <c r="K82"/>
      <c r="L82"/>
      <c r="M82"/>
    </row>
    <row r="83">
      <c r="A83" t="inlineStr">
        <is>
          <t>12</t>
        </is>
      </c>
      <c r="B83" t="inlineStr">
        <is>
          <t>12-proyecto-integrado</t>
        </is>
      </c>
      <c r="C83" t="inlineStr">
        <is>
          <t>Recursos</t>
        </is>
      </c>
      <c r="D83" t="inlineStr">
        <is>
          <t>recurso</t>
        </is>
      </c>
      <c r="E83" t="inlineStr">
        <is>
          <t>12-proyecto-integrado/05-recursos</t>
        </is>
      </c>
      <c r="F83" t="inlineStr">
        <is>
          <t>Pendiente</t>
        </is>
      </c>
      <c r="G83"/>
      <c r="H83"/>
      <c r="I83"/>
      <c r="J83"/>
      <c r="K83"/>
      <c r="L83"/>
      <c r="M83"/>
    </row>
    <row r="84">
      <c r="A84" t="inlineStr">
        <is>
          <t>12</t>
        </is>
      </c>
      <c r="B84" t="inlineStr">
        <is>
          <t>12-proyecto-integrado</t>
        </is>
      </c>
      <c r="C84" t="inlineStr">
        <is>
          <t>Archivo interno</t>
        </is>
      </c>
      <c r="D84" t="inlineStr">
        <is>
          <t>archivo</t>
        </is>
      </c>
      <c r="E84" t="inlineStr">
        <is>
          <t>12-proyecto-integrado/90-archivo</t>
        </is>
      </c>
      <c r="F84" t="inlineStr">
        <is>
          <t>Pendiente</t>
        </is>
      </c>
      <c r="G84"/>
      <c r="H84"/>
      <c r="I84"/>
      <c r="J84"/>
      <c r="K84"/>
      <c r="L84"/>
      <c r="M84"/>
    </row>
    <row r="85">
      <c r="A85" t="inlineStr">
        <is>
          <t>90</t>
        </is>
      </c>
      <c r="B85" t="inlineStr">
        <is>
          <t>Archivo Historico</t>
        </is>
      </c>
      <c r="C85" t="inlineStr">
        <is>
          <t>UDs Old</t>
        </is>
      </c>
      <c r="D85" t="inlineStr">
        <is>
          <t>bloque</t>
        </is>
      </c>
      <c r="E85" t="inlineStr">
        <is>
          <t>90-archivo-historico/UDs_old</t>
        </is>
      </c>
      <c r="F85" t="inlineStr">
        <is>
          <t>Pendiente</t>
        </is>
      </c>
      <c r="G85"/>
      <c r="H85"/>
      <c r="I85"/>
      <c r="J85"/>
      <c r="K85"/>
      <c r="L85"/>
      <c r="M85"/>
    </row>
    <row r="86">
      <c r="A86" t="inlineStr">
        <is>
          <t>90</t>
        </is>
      </c>
      <c r="B86" t="inlineStr">
        <is>
          <t>Archivo Historico</t>
        </is>
      </c>
      <c r="C86" t="inlineStr">
        <is>
          <t>Blockchain</t>
        </is>
      </c>
      <c r="D86" t="inlineStr">
        <is>
          <t>bloque</t>
        </is>
      </c>
      <c r="E86" t="inlineStr">
        <is>
          <t>90-archivo-historico/blockchain</t>
        </is>
      </c>
      <c r="F86" t="inlineStr">
        <is>
          <t>Pendiente</t>
        </is>
      </c>
      <c r="G86"/>
      <c r="H86"/>
      <c r="I86"/>
      <c r="J86"/>
      <c r="K86"/>
      <c r="L86"/>
      <c r="M86"/>
    </row>
    <row r="87">
      <c r="A87" t="inlineStr">
        <is>
          <t>90</t>
        </is>
      </c>
      <c r="B87" t="inlineStr">
        <is>
          <t>Archivo Historico</t>
        </is>
      </c>
      <c r="C87" t="inlineStr">
        <is>
          <t>Convergencia Anterior</t>
        </is>
      </c>
      <c r="D87" t="inlineStr">
        <is>
          <t>bloque</t>
        </is>
      </c>
      <c r="E87" t="inlineStr">
        <is>
          <t>90-archivo-historico/convergencia-anterior</t>
        </is>
      </c>
      <c r="F87" t="inlineStr">
        <is>
          <t>Pendiente</t>
        </is>
      </c>
      <c r="G87"/>
      <c r="H87"/>
      <c r="I87"/>
      <c r="J87"/>
      <c r="K87"/>
      <c r="L87"/>
      <c r="M87"/>
    </row>
    <row r="88">
      <c r="A88" t="inlineStr">
        <is>
          <t>90</t>
        </is>
      </c>
      <c r="B88" t="inlineStr">
        <is>
          <t>Archivo Historico</t>
        </is>
      </c>
      <c r="C88" t="inlineStr">
        <is>
          <t>Mojo</t>
        </is>
      </c>
      <c r="D88" t="inlineStr">
        <is>
          <t>bloque</t>
        </is>
      </c>
      <c r="E88" t="inlineStr">
        <is>
          <t>90-archivo-historico/mojo</t>
        </is>
      </c>
      <c r="F88" t="inlineStr">
        <is>
          <t>Pendiente</t>
        </is>
      </c>
      <c r="G88"/>
      <c r="H88"/>
      <c r="I88"/>
      <c r="J88"/>
      <c r="K88"/>
      <c r="L88"/>
      <c r="M88"/>
    </row>
    <row r="89">
      <c r="A89" t="inlineStr">
        <is>
          <t>90</t>
        </is>
      </c>
      <c r="B89" t="inlineStr">
        <is>
          <t>Archivo Historico</t>
        </is>
      </c>
      <c r="C89" t="inlineStr">
        <is>
          <t>Neurosimbólica</t>
        </is>
      </c>
      <c r="D89" t="inlineStr">
        <is>
          <t>bloque</t>
        </is>
      </c>
      <c r="E89" t="inlineStr">
        <is>
          <t>90-archivo-historico/neurosimbólica</t>
        </is>
      </c>
      <c r="F89" t="inlineStr">
        <is>
          <t>Pendiente</t>
        </is>
      </c>
      <c r="G89"/>
      <c r="H89"/>
      <c r="I89"/>
      <c r="J89"/>
      <c r="K89"/>
      <c r="L89"/>
      <c r="M89"/>
    </row>
    <row r="90">
      <c r="A90" t="inlineStr">
        <is>
          <t>99</t>
        </is>
      </c>
      <c r="B90" t="inlineStr">
        <is>
          <t>99-sensible — Claves y datos sensibles</t>
        </is>
      </c>
      <c r="C90" t="inlineStr">
        <is>
          <t>Índice / presentación</t>
        </is>
      </c>
      <c r="D90" t="inlineStr">
        <is>
          <t>documentación</t>
        </is>
      </c>
      <c r="E90" t="inlineStr">
        <is>
          <t>99-sensible/README.md</t>
        </is>
      </c>
      <c r="F90" t="inlineStr">
        <is>
          <t>Pendiente</t>
        </is>
      </c>
      <c r="G90"/>
      <c r="H90"/>
      <c r="I90"/>
      <c r="J90"/>
      <c r="K90"/>
      <c r="L90"/>
      <c r="M90"/>
    </row>
  </sheetData>
  <autoFilter ref="A1:M90"/>
  <dataValidations count="1">
    <dataValidation type="list" allowBlank="1" showErrorMessage="1" sqref="F2:F500">
      <formula1>"Pendiente,En curso,Impartido,Reforzar,Omitido"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dimension ref="A1:O280"/>
  <sheetViews>
    <sheetView workbookViewId="0">
      <pane ySplit="1" topLeftCell="A2" activePane="bottomLeft" state="frozen"/>
    </sheetView>
  </sheetViews>
  <cols>
    <col min="1" max="1" width="10" customWidth="1"/>
    <col min="2" max="2" width="32" customWidth="1"/>
    <col min="3" max="3" width="45" customWidth="1"/>
    <col min="4" max="4" width="18" customWidth="1"/>
    <col min="5" max="5" width="65" customWidth="1"/>
    <col min="6" max="6" width="10" customWidth="1"/>
    <col min="7" max="7" width="18" customWidth="1"/>
    <col min="8" max="8" width="16" customWidth="1"/>
    <col min="9" max="9" width="16" customWidth="1"/>
    <col min="10" max="10" width="20" customWidth="1"/>
    <col min="11" max="11" width="18" customWidth="1"/>
    <col min="12" max="12" width="22" customWidth="1"/>
    <col min="13" max="13" width="12" customWidth="1"/>
    <col min="14" max="14" width="10" customWidth="1"/>
    <col min="15" max="15" width="45" customWidth="1"/>
  </cols>
  <sheetFormatPr defaultRowHeight="15"/>
  <sheetData>
    <row r="1">
      <c r="A1" t="inlineStr" s="1">
        <is>
          <t>Unidad</t>
        </is>
      </c>
      <c r="B1" t="inlineStr" s="1">
        <is>
          <t>Título unidad</t>
        </is>
      </c>
      <c r="C1" t="inlineStr" s="1">
        <is>
          <t>Actividad</t>
        </is>
      </c>
      <c r="D1" t="inlineStr" s="1">
        <is>
          <t>Tipo</t>
        </is>
      </c>
      <c r="E1" t="inlineStr" s="1">
        <is>
          <t>Ruta</t>
        </is>
      </c>
      <c r="F1" t="inlineStr" s="1">
        <is>
          <t>Evalúa</t>
        </is>
      </c>
      <c r="G1" t="inlineStr" s="1">
        <is>
          <t>Estado actividad</t>
        </is>
      </c>
      <c r="H1" t="inlineStr" s="1">
        <is>
          <t>Fecha propuesta</t>
        </is>
      </c>
      <c r="I1" t="inlineStr" s="1">
        <is>
          <t>Fecha límite</t>
        </is>
      </c>
      <c r="J1" t="inlineStr" s="1">
        <is>
          <t>Entregas esperadas</t>
        </is>
      </c>
      <c r="K1" t="inlineStr" s="1">
        <is>
          <t>Entregas recibidas</t>
        </is>
      </c>
      <c r="L1" t="inlineStr" s="1">
        <is>
          <t>Pendientes corrección</t>
        </is>
      </c>
      <c r="M1" t="inlineStr" s="1">
        <is>
          <t>Nota media</t>
        </is>
      </c>
      <c r="N1" t="inlineStr" s="1">
        <is>
          <t>Peso %</t>
        </is>
      </c>
      <c r="O1" t="inlineStr" s="1">
        <is>
          <t>Observaciones</t>
        </is>
      </c>
    </row>
    <row r="2">
      <c r="A2" t="inlineStr">
        <is>
          <t>01</t>
        </is>
      </c>
      <c r="B2" t="inlineStr">
        <is>
          <t>01 - Fundamentos de Python</t>
        </is>
      </c>
      <c r="C2" t="inlineStr">
        <is>
          <t>CuadernoDePracticasEstructuras</t>
        </is>
      </c>
      <c r="D2" t="inlineStr">
        <is>
          <t>notebook</t>
        </is>
      </c>
      <c r="E2" t="inlineStr">
        <is>
          <t>01-fundamentos-python/03-practicas/05_CuadernoDePracticasEstructuras.ipynb</t>
        </is>
      </c>
      <c r="F2" t="inlineStr">
        <is>
          <t>Revisar</t>
        </is>
      </c>
      <c r="G2" t="inlineStr">
        <is>
          <t>Pendiente</t>
        </is>
      </c>
      <c r="H2"/>
      <c r="I2"/>
      <c r="J2"/>
      <c r="K2"/>
      <c r="L2">
        <f>IF(AND(ISNUMBER(J2),ISNUMBER(K2)),MAX(J2-K2,0),"")</f>
      </c>
      <c r="M2"/>
      <c r="N2"/>
    </row>
    <row r="3">
      <c r="A3" t="inlineStr">
        <is>
          <t>01</t>
        </is>
      </c>
      <c r="B3" t="inlineStr">
        <is>
          <t>01 - Fundamentos de Python</t>
        </is>
      </c>
      <c r="C3" t="inlineStr">
        <is>
          <t>Repaso Y Ejercicios Basicos</t>
        </is>
      </c>
      <c r="D3" t="inlineStr">
        <is>
          <t>notebook</t>
        </is>
      </c>
      <c r="E3" t="inlineStr">
        <is>
          <t>01-fundamentos-python/03-practicas/05_repaso_y_ejercicios_basicos.ipynb</t>
        </is>
      </c>
      <c r="F3" t="inlineStr">
        <is>
          <t>Revisar</t>
        </is>
      </c>
      <c r="G3" t="inlineStr">
        <is>
          <t>Pendiente</t>
        </is>
      </c>
      <c r="H3"/>
      <c r="I3"/>
      <c r="J3"/>
      <c r="K3"/>
      <c r="L3">
        <f>IF(AND(ISNUMBER(J3),ISNUMBER(K3)),MAX(J3-K3,0),"")</f>
      </c>
      <c r="M3"/>
      <c r="N3"/>
    </row>
    <row r="4">
      <c r="A4" t="inlineStr">
        <is>
          <t>01</t>
        </is>
      </c>
      <c r="B4" t="inlineStr">
        <is>
          <t>01 - Fundamentos de Python</t>
        </is>
      </c>
      <c r="C4" t="inlineStr">
        <is>
          <t>Eda Numpy</t>
        </is>
      </c>
      <c r="D4" t="inlineStr">
        <is>
          <t>notebook</t>
        </is>
      </c>
      <c r="E4" t="inlineStr">
        <is>
          <t>01-fundamentos-python/03-practicas/09_eda_numpy.ipynb</t>
        </is>
      </c>
      <c r="F4" t="inlineStr">
        <is>
          <t>Revisar</t>
        </is>
      </c>
      <c r="G4" t="inlineStr">
        <is>
          <t>Pendiente</t>
        </is>
      </c>
      <c r="H4"/>
      <c r="I4"/>
      <c r="J4"/>
      <c r="K4"/>
      <c r="L4">
        <f>IF(AND(ISNUMBER(J4),ISNUMBER(K4)),MAX(J4-K4,0),"")</f>
      </c>
      <c r="M4"/>
      <c r="N4"/>
    </row>
    <row r="5">
      <c r="A5" t="inlineStr">
        <is>
          <t>01</t>
        </is>
      </c>
      <c r="B5" t="inlineStr">
        <is>
          <t>01 - Fundamentos de Python</t>
        </is>
      </c>
      <c r="C5" t="inlineStr">
        <is>
          <t>🧮 Actividad: Análisis exploratorio con NumPy</t>
        </is>
      </c>
      <c r="D5" t="inlineStr">
        <is>
          <t>guía/rúbrica</t>
        </is>
      </c>
      <c r="E5" t="inlineStr">
        <is>
          <t>01-fundamentos-python/03-practicas/09_eda_numpy.md</t>
        </is>
      </c>
      <c r="F5" t="inlineStr">
        <is>
          <t>Revisar</t>
        </is>
      </c>
      <c r="G5" t="inlineStr">
        <is>
          <t>Pendiente</t>
        </is>
      </c>
      <c r="H5"/>
      <c r="I5"/>
      <c r="J5"/>
      <c r="K5"/>
      <c r="L5">
        <f>IF(AND(ISNUMBER(J5),ISNUMBER(K5)),MAX(J5-K5,0),"")</f>
      </c>
      <c r="M5"/>
      <c r="N5"/>
    </row>
    <row r="6">
      <c r="A6" t="inlineStr">
        <is>
          <t>01</t>
        </is>
      </c>
      <c r="B6" t="inlineStr">
        <is>
          <t>01 - Fundamentos de Python</t>
        </is>
      </c>
      <c r="C6" t="inlineStr">
        <is>
          <t>Ejercicios Numpy Tests</t>
        </is>
      </c>
      <c r="D6" t="inlineStr">
        <is>
          <t>notebook</t>
        </is>
      </c>
      <c r="E6" t="inlineStr">
        <is>
          <t>01-fundamentos-python/03-practicas/10-ejercicios_numpy-tests.ipynb</t>
        </is>
      </c>
      <c r="F6" t="inlineStr">
        <is>
          <t>Revisar</t>
        </is>
      </c>
      <c r="G6" t="inlineStr">
        <is>
          <t>Pendiente</t>
        </is>
      </c>
      <c r="H6"/>
      <c r="I6"/>
      <c r="J6"/>
      <c r="K6"/>
      <c r="L6">
        <f>IF(AND(ISNUMBER(J6),ISNUMBER(K6)),MAX(J6-K6,0),"")</f>
      </c>
      <c r="M6"/>
      <c r="N6"/>
    </row>
    <row r="7">
      <c r="A7" t="inlineStr">
        <is>
          <t>01</t>
        </is>
      </c>
      <c r="B7" t="inlineStr">
        <is>
          <t>01 - Fundamentos de Python</t>
        </is>
      </c>
      <c r="C7" t="inlineStr">
        <is>
          <t>🧮 Ejercicios de práctica con NumPy (versión con tests)</t>
        </is>
      </c>
      <c r="D7" t="inlineStr">
        <is>
          <t>guía/rúbrica</t>
        </is>
      </c>
      <c r="E7" t="inlineStr">
        <is>
          <t>01-fundamentos-python/03-practicas/10-ejercicios_numpy-tests.md</t>
        </is>
      </c>
      <c r="F7" t="inlineStr">
        <is>
          <t>Revisar</t>
        </is>
      </c>
      <c r="G7" t="inlineStr">
        <is>
          <t>Pendiente</t>
        </is>
      </c>
      <c r="H7"/>
      <c r="I7"/>
      <c r="J7"/>
      <c r="K7"/>
      <c r="L7">
        <f>IF(AND(ISNUMBER(J7),ISNUMBER(K7)),MAX(J7-K7,0),"")</f>
      </c>
      <c r="M7"/>
      <c r="N7"/>
    </row>
    <row r="8">
      <c r="A8" t="inlineStr">
        <is>
          <t>01</t>
        </is>
      </c>
      <c r="B8" t="inlineStr">
        <is>
          <t>01 - Fundamentos de Python</t>
        </is>
      </c>
      <c r="C8" t="inlineStr">
        <is>
          <t>Ejercicios Numpy</t>
        </is>
      </c>
      <c r="D8" t="inlineStr">
        <is>
          <t>notebook</t>
        </is>
      </c>
      <c r="E8" t="inlineStr">
        <is>
          <t>01-fundamentos-python/03-practicas/10-ejercicios_numpy.ipynb</t>
        </is>
      </c>
      <c r="F8" t="inlineStr">
        <is>
          <t>Revisar</t>
        </is>
      </c>
      <c r="G8" t="inlineStr">
        <is>
          <t>Pendiente</t>
        </is>
      </c>
      <c r="H8"/>
      <c r="I8"/>
      <c r="J8"/>
      <c r="K8"/>
      <c r="L8">
        <f>IF(AND(ISNUMBER(J8),ISNUMBER(K8)),MAX(J8-K8,0),"")</f>
      </c>
      <c r="M8"/>
      <c r="N8"/>
    </row>
    <row r="9">
      <c r="A9" t="inlineStr">
        <is>
          <t>01</t>
        </is>
      </c>
      <c r="B9" t="inlineStr">
        <is>
          <t>01 - Fundamentos de Python</t>
        </is>
      </c>
      <c r="C9" t="inlineStr">
        <is>
          <t>🧮 Ejercicios de práctica con NumPy</t>
        </is>
      </c>
      <c r="D9" t="inlineStr">
        <is>
          <t>guía/rúbrica</t>
        </is>
      </c>
      <c r="E9" t="inlineStr">
        <is>
          <t>01-fundamentos-python/03-practicas/10-ejercicios_numpy.md</t>
        </is>
      </c>
      <c r="F9" t="inlineStr">
        <is>
          <t>Revisar</t>
        </is>
      </c>
      <c r="G9" t="inlineStr">
        <is>
          <t>Pendiente</t>
        </is>
      </c>
      <c r="H9"/>
      <c r="I9"/>
      <c r="J9"/>
      <c r="K9"/>
      <c r="L9">
        <f>IF(AND(ISNUMBER(J9),ISNUMBER(K9)),MAX(J9-K9,0),"")</f>
      </c>
      <c r="M9"/>
      <c r="N9"/>
    </row>
    <row r="10">
      <c r="A10" t="inlineStr">
        <is>
          <t>01</t>
        </is>
      </c>
      <c r="B10" t="inlineStr">
        <is>
          <t>01 - Fundamentos de Python</t>
        </is>
      </c>
      <c r="C10" t="inlineStr">
        <is>
          <t>Evaluación base — UD1 Fundamentos de Python</t>
        </is>
      </c>
      <c r="D10" t="inlineStr">
        <is>
          <t>guía/rúbrica</t>
        </is>
      </c>
      <c r="E10" t="inlineStr">
        <is>
          <t>01-fundamentos-python/04-evaluacion/README.md</t>
        </is>
      </c>
      <c r="F10" t="inlineStr">
        <is>
          <t>Sí</t>
        </is>
      </c>
      <c r="G10" t="inlineStr">
        <is>
          <t>Pendiente</t>
        </is>
      </c>
      <c r="H10"/>
      <c r="I10"/>
      <c r="J10"/>
      <c r="K10"/>
      <c r="L10">
        <f>IF(AND(ISNUMBER(J10),ISNUMBER(K10)),MAX(J10-K10,0),"")</f>
      </c>
      <c r="M10"/>
      <c r="N10"/>
    </row>
    <row r="11">
      <c r="A11" t="inlineStr">
        <is>
          <t>01</t>
        </is>
      </c>
      <c r="B11" t="inlineStr">
        <is>
          <t>01 - Fundamentos de Python</t>
        </is>
      </c>
      <c r="C11" t="inlineStr">
        <is>
          <t>Checklist de entrega — UD1</t>
        </is>
      </c>
      <c r="D11" t="inlineStr">
        <is>
          <t>guía/rúbrica</t>
        </is>
      </c>
      <c r="E11" t="inlineStr">
        <is>
          <t>01-fundamentos-python/04-evaluacion/checklist-entrega.md</t>
        </is>
      </c>
      <c r="F11" t="inlineStr">
        <is>
          <t>Sí</t>
        </is>
      </c>
      <c r="G11" t="inlineStr">
        <is>
          <t>Pendiente</t>
        </is>
      </c>
      <c r="H11"/>
      <c r="I11"/>
      <c r="J11"/>
      <c r="K11"/>
      <c r="L11">
        <f>IF(AND(ISNUMBER(J11),ISNUMBER(K11)),MAX(J11-K11,0),"")</f>
      </c>
      <c r="M11"/>
      <c r="N11"/>
    </row>
    <row r="12">
      <c r="A12" t="inlineStr">
        <is>
          <t>01</t>
        </is>
      </c>
      <c r="B12" t="inlineStr">
        <is>
          <t>01 - Fundamentos de Python</t>
        </is>
      </c>
      <c r="C12" t="inlineStr">
        <is>
          <t>Cuestionario Base</t>
        </is>
      </c>
      <c r="D12" t="inlineStr">
        <is>
          <t>cuestionario</t>
        </is>
      </c>
      <c r="E12" t="inlineStr">
        <is>
          <t>01-fundamentos-python/04-evaluacion/cuestionario-base.gift</t>
        </is>
      </c>
      <c r="F12" t="inlineStr">
        <is>
          <t>Sí</t>
        </is>
      </c>
      <c r="G12" t="inlineStr">
        <is>
          <t>Pendiente</t>
        </is>
      </c>
      <c r="H12"/>
      <c r="I12"/>
      <c r="J12"/>
      <c r="K12"/>
      <c r="L12">
        <f>IF(AND(ISNUMBER(J12),ISNUMBER(K12)),MAX(J12-K12,0),"")</f>
      </c>
      <c r="M12"/>
      <c r="N12"/>
    </row>
    <row r="13">
      <c r="A13" t="inlineStr">
        <is>
          <t>01</t>
        </is>
      </c>
      <c r="B13" t="inlineStr">
        <is>
          <t>01 - Fundamentos de Python</t>
        </is>
      </c>
      <c r="C13" t="inlineStr">
        <is>
          <t>Rúbrica base — UD1 Fundamentos de Python</t>
        </is>
      </c>
      <c r="D13" t="inlineStr">
        <is>
          <t>guía/rúbrica</t>
        </is>
      </c>
      <c r="E13" t="inlineStr">
        <is>
          <t>01-fundamentos-python/04-evaluacion/rubrica.md</t>
        </is>
      </c>
      <c r="F13" t="inlineStr">
        <is>
          <t>Sí</t>
        </is>
      </c>
      <c r="G13" t="inlineStr">
        <is>
          <t>Pendiente</t>
        </is>
      </c>
      <c r="H13"/>
      <c r="I13"/>
      <c r="J13"/>
      <c r="K13"/>
      <c r="L13">
        <f>IF(AND(ISNUMBER(J13),ISNUMBER(K13)),MAX(J13-K13,0),"")</f>
      </c>
      <c r="M13"/>
      <c r="N13"/>
    </row>
    <row r="14">
      <c r="A14" t="inlineStr">
        <is>
          <t>02</t>
        </is>
      </c>
      <c r="B14" t="inlineStr">
        <is>
          <t>02 — Tratamiento de Datos</t>
        </is>
      </c>
      <c r="C14" t="inlineStr">
        <is>
          <t>EDA Visual Practicas</t>
        </is>
      </c>
      <c r="D14" t="inlineStr">
        <is>
          <t>notebook</t>
        </is>
      </c>
      <c r="E14" t="inlineStr">
        <is>
          <t>02-tratamiento-datos/03-practicas/EDA_Visual_Practicas.ipynb</t>
        </is>
      </c>
      <c r="F14" t="inlineStr">
        <is>
          <t>Revisar</t>
        </is>
      </c>
      <c r="G14" t="inlineStr">
        <is>
          <t>Pendiente</t>
        </is>
      </c>
      <c r="H14"/>
      <c r="I14"/>
      <c r="J14"/>
      <c r="K14"/>
      <c r="L14">
        <f>IF(AND(ISNUMBER(J14),ISNUMBER(K14)),MAX(J14-K14,0),"")</f>
      </c>
      <c r="M14"/>
      <c r="N14"/>
    </row>
    <row r="15">
      <c r="A15" t="inlineStr">
        <is>
          <t>02</t>
        </is>
      </c>
      <c r="B15" t="inlineStr">
        <is>
          <t>02 — Tratamiento de Datos</t>
        </is>
      </c>
      <c r="C15" t="inlineStr">
        <is>
          <t>Getting Knowing Data</t>
        </is>
      </c>
      <c r="D15" t="inlineStr">
        <is>
          <t>notebook</t>
        </is>
      </c>
      <c r="E15" t="inlineStr">
        <is>
          <t>02-tratamiento-datos/03-practicas/ejercicios_seleccionados/01_Getting_Knowing_Data.ipynb</t>
        </is>
      </c>
      <c r="F15" t="inlineStr">
        <is>
          <t>Revisar</t>
        </is>
      </c>
      <c r="G15" t="inlineStr">
        <is>
          <t>Pendiente</t>
        </is>
      </c>
      <c r="H15"/>
      <c r="I15"/>
      <c r="J15"/>
      <c r="K15"/>
      <c r="L15">
        <f>IF(AND(ISNUMBER(J15),ISNUMBER(K15)),MAX(J15-K15,0),"")</f>
      </c>
      <c r="M15"/>
      <c r="N15"/>
    </row>
    <row r="16">
      <c r="A16" t="inlineStr">
        <is>
          <t>02</t>
        </is>
      </c>
      <c r="B16" t="inlineStr">
        <is>
          <t>02 — Tratamiento de Datos</t>
        </is>
      </c>
      <c r="C16" t="inlineStr">
        <is>
          <t>Filtering Sorting</t>
        </is>
      </c>
      <c r="D16" t="inlineStr">
        <is>
          <t>notebook</t>
        </is>
      </c>
      <c r="E16" t="inlineStr">
        <is>
          <t>02-tratamiento-datos/03-practicas/ejercicios_seleccionados/02_Filtering_Sorting.ipynb</t>
        </is>
      </c>
      <c r="F16" t="inlineStr">
        <is>
          <t>Revisar</t>
        </is>
      </c>
      <c r="G16" t="inlineStr">
        <is>
          <t>Pendiente</t>
        </is>
      </c>
      <c r="H16"/>
      <c r="I16"/>
      <c r="J16"/>
      <c r="K16"/>
      <c r="L16">
        <f>IF(AND(ISNUMBER(J16),ISNUMBER(K16)),MAX(J16-K16,0),"")</f>
      </c>
      <c r="M16"/>
      <c r="N16"/>
    </row>
    <row r="17">
      <c r="A17" t="inlineStr">
        <is>
          <t>02</t>
        </is>
      </c>
      <c r="B17" t="inlineStr">
        <is>
          <t>02 — Tratamiento de Datos</t>
        </is>
      </c>
      <c r="C17" t="inlineStr">
        <is>
          <t>Grouping</t>
        </is>
      </c>
      <c r="D17" t="inlineStr">
        <is>
          <t>notebook</t>
        </is>
      </c>
      <c r="E17" t="inlineStr">
        <is>
          <t>02-tratamiento-datos/03-practicas/ejercicios_seleccionados/03_Grouping.ipynb</t>
        </is>
      </c>
      <c r="F17" t="inlineStr">
        <is>
          <t>Revisar</t>
        </is>
      </c>
      <c r="G17" t="inlineStr">
        <is>
          <t>Pendiente</t>
        </is>
      </c>
      <c r="H17"/>
      <c r="I17"/>
      <c r="J17"/>
      <c r="K17"/>
      <c r="L17">
        <f>IF(AND(ISNUMBER(J17),ISNUMBER(K17)),MAX(J17-K17,0),"")</f>
      </c>
      <c r="M17"/>
      <c r="N17"/>
    </row>
    <row r="18">
      <c r="A18" t="inlineStr">
        <is>
          <t>02</t>
        </is>
      </c>
      <c r="B18" t="inlineStr">
        <is>
          <t>02 — Tratamiento de Datos</t>
        </is>
      </c>
      <c r="C18" t="inlineStr">
        <is>
          <t>Apply</t>
        </is>
      </c>
      <c r="D18" t="inlineStr">
        <is>
          <t>notebook</t>
        </is>
      </c>
      <c r="E18" t="inlineStr">
        <is>
          <t>02-tratamiento-datos/03-practicas/ejercicios_seleccionados/04_Apply.ipynb</t>
        </is>
      </c>
      <c r="F18" t="inlineStr">
        <is>
          <t>Revisar</t>
        </is>
      </c>
      <c r="G18" t="inlineStr">
        <is>
          <t>Pendiente</t>
        </is>
      </c>
      <c r="H18"/>
      <c r="I18"/>
      <c r="J18"/>
      <c r="K18"/>
      <c r="L18">
        <f>IF(AND(ISNUMBER(J18),ISNUMBER(K18)),MAX(J18-K18,0),"")</f>
      </c>
      <c r="M18"/>
      <c r="N18"/>
    </row>
    <row r="19">
      <c r="A19" t="inlineStr">
        <is>
          <t>02</t>
        </is>
      </c>
      <c r="B19" t="inlineStr">
        <is>
          <t>02 — Tratamiento de Datos</t>
        </is>
      </c>
      <c r="C19" t="inlineStr">
        <is>
          <t>Merge</t>
        </is>
      </c>
      <c r="D19" t="inlineStr">
        <is>
          <t>notebook</t>
        </is>
      </c>
      <c r="E19" t="inlineStr">
        <is>
          <t>02-tratamiento-datos/03-practicas/ejercicios_seleccionados/05_Merge.ipynb</t>
        </is>
      </c>
      <c r="F19" t="inlineStr">
        <is>
          <t>Revisar</t>
        </is>
      </c>
      <c r="G19" t="inlineStr">
        <is>
          <t>Pendiente</t>
        </is>
      </c>
      <c r="H19"/>
      <c r="I19"/>
      <c r="J19"/>
      <c r="K19"/>
      <c r="L19">
        <f>IF(AND(ISNUMBER(J19),ISNUMBER(K19)),MAX(J19-K19,0),"")</f>
      </c>
      <c r="M19"/>
      <c r="N19"/>
    </row>
    <row r="20">
      <c r="A20" t="inlineStr">
        <is>
          <t>02</t>
        </is>
      </c>
      <c r="B20" t="inlineStr">
        <is>
          <t>02 — Tratamiento de Datos</t>
        </is>
      </c>
      <c r="C20" t="inlineStr">
        <is>
          <t>Stats</t>
        </is>
      </c>
      <c r="D20" t="inlineStr">
        <is>
          <t>notebook</t>
        </is>
      </c>
      <c r="E20" t="inlineStr">
        <is>
          <t>02-tratamiento-datos/03-practicas/ejercicios_seleccionados/06_Stats.ipynb</t>
        </is>
      </c>
      <c r="F20" t="inlineStr">
        <is>
          <t>Revisar</t>
        </is>
      </c>
      <c r="G20" t="inlineStr">
        <is>
          <t>Pendiente</t>
        </is>
      </c>
      <c r="H20"/>
      <c r="I20"/>
      <c r="J20"/>
      <c r="K20"/>
      <c r="L20">
        <f>IF(AND(ISNUMBER(J20),ISNUMBER(K20)),MAX(J20-K20,0),"")</f>
      </c>
      <c r="M20"/>
      <c r="N20"/>
    </row>
    <row r="21">
      <c r="A21" t="inlineStr">
        <is>
          <t>02</t>
        </is>
      </c>
      <c r="B21" t="inlineStr">
        <is>
          <t>02 — Tratamiento de Datos</t>
        </is>
      </c>
      <c r="C21" t="inlineStr">
        <is>
          <t>Visualization</t>
        </is>
      </c>
      <c r="D21" t="inlineStr">
        <is>
          <t>notebook</t>
        </is>
      </c>
      <c r="E21" t="inlineStr">
        <is>
          <t>02-tratamiento-datos/03-practicas/ejercicios_seleccionados/07_Visualization.ipynb</t>
        </is>
      </c>
      <c r="F21" t="inlineStr">
        <is>
          <t>Revisar</t>
        </is>
      </c>
      <c r="G21" t="inlineStr">
        <is>
          <t>Pendiente</t>
        </is>
      </c>
      <c r="H21"/>
      <c r="I21"/>
      <c r="J21"/>
      <c r="K21"/>
      <c r="L21">
        <f>IF(AND(ISNUMBER(J21),ISNUMBER(K21)),MAX(J21-K21,0),"")</f>
      </c>
      <c r="M21"/>
      <c r="N21"/>
    </row>
    <row r="22">
      <c r="A22" t="inlineStr">
        <is>
          <t>02</t>
        </is>
      </c>
      <c r="B22" t="inlineStr">
        <is>
          <t>02 — Tratamiento de Datos</t>
        </is>
      </c>
      <c r="C22" t="inlineStr">
        <is>
          <t>Creating Data</t>
        </is>
      </c>
      <c r="D22" t="inlineStr">
        <is>
          <t>notebook</t>
        </is>
      </c>
      <c r="E22" t="inlineStr">
        <is>
          <t>02-tratamiento-datos/03-practicas/ejercicios_seleccionados/08_Creating_Data.ipynb</t>
        </is>
      </c>
      <c r="F22" t="inlineStr">
        <is>
          <t>Revisar</t>
        </is>
      </c>
      <c r="G22" t="inlineStr">
        <is>
          <t>Pendiente</t>
        </is>
      </c>
      <c r="H22"/>
      <c r="I22"/>
      <c r="J22"/>
      <c r="K22"/>
      <c r="L22">
        <f>IF(AND(ISNUMBER(J22),ISNUMBER(K22)),MAX(J22-K22,0),"")</f>
      </c>
      <c r="M22"/>
      <c r="N22"/>
    </row>
    <row r="23">
      <c r="A23" t="inlineStr">
        <is>
          <t>02</t>
        </is>
      </c>
      <c r="B23" t="inlineStr">
        <is>
          <t>02 — Tratamiento de Datos</t>
        </is>
      </c>
      <c r="C23" t="inlineStr">
        <is>
          <t>Time Series</t>
        </is>
      </c>
      <c r="D23" t="inlineStr">
        <is>
          <t>notebook</t>
        </is>
      </c>
      <c r="E23" t="inlineStr">
        <is>
          <t>02-tratamiento-datos/03-practicas/ejercicios_seleccionados/09_Time_Series.ipynb</t>
        </is>
      </c>
      <c r="F23" t="inlineStr">
        <is>
          <t>Revisar</t>
        </is>
      </c>
      <c r="G23" t="inlineStr">
        <is>
          <t>Pendiente</t>
        </is>
      </c>
      <c r="H23"/>
      <c r="I23"/>
      <c r="J23"/>
      <c r="K23"/>
      <c r="L23">
        <f>IF(AND(ISNUMBER(J23),ISNUMBER(K23)),MAX(J23-K23,0),"")</f>
      </c>
      <c r="M23"/>
      <c r="N23"/>
    </row>
    <row r="24">
      <c r="A24" t="inlineStr">
        <is>
          <t>02</t>
        </is>
      </c>
      <c r="B24" t="inlineStr">
        <is>
          <t>02 — Tratamiento de Datos</t>
        </is>
      </c>
      <c r="C24" t="inlineStr">
        <is>
          <t>Deleting Indexing</t>
        </is>
      </c>
      <c r="D24" t="inlineStr">
        <is>
          <t>notebook</t>
        </is>
      </c>
      <c r="E24" t="inlineStr">
        <is>
          <t>02-tratamiento-datos/03-practicas/ejercicios_seleccionados/10_Deleting_Indexing.ipynb</t>
        </is>
      </c>
      <c r="F24" t="inlineStr">
        <is>
          <t>Revisar</t>
        </is>
      </c>
      <c r="G24" t="inlineStr">
        <is>
          <t>Pendiente</t>
        </is>
      </c>
      <c r="H24"/>
      <c r="I24"/>
      <c r="J24"/>
      <c r="K24"/>
      <c r="L24">
        <f>IF(AND(ISNUMBER(J24),ISNUMBER(K24)),MAX(J24-K24,0),"")</f>
      </c>
      <c r="M24"/>
      <c r="N24"/>
    </row>
    <row r="25">
      <c r="A25" t="inlineStr">
        <is>
          <t>02</t>
        </is>
      </c>
      <c r="B25" t="inlineStr">
        <is>
          <t>02 — Tratamiento de Datos</t>
        </is>
      </c>
      <c r="C25" t="inlineStr">
        <is>
          <t>Generar Todos</t>
        </is>
      </c>
      <c r="D25" t="inlineStr">
        <is>
          <t>script</t>
        </is>
      </c>
      <c r="E25" t="inlineStr">
        <is>
          <t>02-tratamiento-datos/03-practicas/ejercicios_seleccionados/generar_todos.py</t>
        </is>
      </c>
      <c r="F25" t="inlineStr">
        <is>
          <t>Revisar</t>
        </is>
      </c>
      <c r="G25" t="inlineStr">
        <is>
          <t>Pendiente</t>
        </is>
      </c>
      <c r="H25"/>
      <c r="I25"/>
      <c r="J25"/>
      <c r="K25"/>
      <c r="L25">
        <f>IF(AND(ISNUMBER(J25),ISNUMBER(K25)),MAX(J25-K25,0),"")</f>
      </c>
      <c r="M25"/>
      <c r="N25"/>
    </row>
    <row r="26">
      <c r="A26" t="inlineStr">
        <is>
          <t>02</t>
        </is>
      </c>
      <c r="B26" t="inlineStr">
        <is>
          <t>02 — Tratamiento de Datos</t>
        </is>
      </c>
      <c r="C26" t="inlineStr">
        <is>
          <t>🧩 **Chuleta R para estudiantes que vienen de Python (Pandas → dplyr)**</t>
        </is>
      </c>
      <c r="D26" t="inlineStr">
        <is>
          <t>guía/rúbrica</t>
        </is>
      </c>
      <c r="E26" t="inlineStr">
        <is>
          <t>02-tratamiento-datos/03-practicas/r_exercises_titanic_with_tests/00D-Chuleta-R.md</t>
        </is>
      </c>
      <c r="F26" t="inlineStr">
        <is>
          <t>Revisar</t>
        </is>
      </c>
      <c r="G26" t="inlineStr">
        <is>
          <t>Pendiente</t>
        </is>
      </c>
      <c r="H26"/>
      <c r="I26"/>
      <c r="J26"/>
      <c r="K26"/>
      <c r="L26">
        <f>IF(AND(ISNUMBER(J26),ISNUMBER(K26)),MAX(J26-K26,0),"")</f>
      </c>
      <c r="M26"/>
      <c r="N26"/>
    </row>
    <row r="27">
      <c r="A27" t="inlineStr">
        <is>
          <t>02</t>
        </is>
      </c>
      <c r="B27" t="inlineStr">
        <is>
          <t>02 — Tratamiento de Datos</t>
        </is>
      </c>
      <c r="C27" t="inlineStr">
        <is>
          <t>Intro R Alumnos</t>
        </is>
      </c>
      <c r="D27" t="inlineStr">
        <is>
          <t>R Markdown</t>
        </is>
      </c>
      <c r="E27" t="inlineStr">
        <is>
          <t>02-tratamiento-datos/03-practicas/r_exercises_titanic_with_tests/00_Intro_R_alumnos.Rmd</t>
        </is>
      </c>
      <c r="F27" t="inlineStr">
        <is>
          <t>Revisar</t>
        </is>
      </c>
      <c r="G27" t="inlineStr">
        <is>
          <t>Pendiente</t>
        </is>
      </c>
      <c r="H27"/>
      <c r="I27"/>
      <c r="J27"/>
      <c r="K27"/>
      <c r="L27">
        <f>IF(AND(ISNUMBER(J27),ISNUMBER(K27)),MAX(J27-K27,0),"")</f>
      </c>
      <c r="M27"/>
      <c r="N27"/>
    </row>
    <row r="28">
      <c r="A28" t="inlineStr">
        <is>
          <t>02</t>
        </is>
      </c>
      <c r="B28" t="inlineStr">
        <is>
          <t>02 — Tratamiento de Datos</t>
        </is>
      </c>
      <c r="C28" t="inlineStr">
        <is>
          <t>Preparación del entorno R</t>
        </is>
      </c>
      <c r="D28" t="inlineStr">
        <is>
          <t>guía/rúbrica</t>
        </is>
      </c>
      <c r="E28" t="inlineStr">
        <is>
          <t>02-tratamiento-datos/03-practicas/r_exercises_titanic_with_tests/00_instalacion_y_entorno_R.md</t>
        </is>
      </c>
      <c r="F28" t="inlineStr">
        <is>
          <t>Revisar</t>
        </is>
      </c>
      <c r="G28" t="inlineStr">
        <is>
          <t>Pendiente</t>
        </is>
      </c>
      <c r="H28"/>
      <c r="I28"/>
      <c r="J28"/>
      <c r="K28"/>
      <c r="L28">
        <f>IF(AND(ISNUMBER(J28),ISNUMBER(K28)),MAX(J28-K28,0),"")</f>
      </c>
      <c r="M28"/>
      <c r="N28"/>
    </row>
    <row r="29">
      <c r="A29" t="inlineStr">
        <is>
          <t>02</t>
        </is>
      </c>
      <c r="B29" t="inlineStr">
        <is>
          <t>02 — Tratamiento de Datos</t>
        </is>
      </c>
      <c r="C29" t="inlineStr">
        <is>
          <t>Filter Index R Alumnos</t>
        </is>
      </c>
      <c r="D29" t="inlineStr">
        <is>
          <t>R Markdown</t>
        </is>
      </c>
      <c r="E29" t="inlineStr">
        <is>
          <t>02-tratamiento-datos/03-practicas/r_exercises_titanic_with_tests/01_Filter_Index_R_alumnos.Rmd</t>
        </is>
      </c>
      <c r="F29" t="inlineStr">
        <is>
          <t>Revisar</t>
        </is>
      </c>
      <c r="G29" t="inlineStr">
        <is>
          <t>Pendiente</t>
        </is>
      </c>
      <c r="H29"/>
      <c r="I29"/>
      <c r="J29"/>
      <c r="K29"/>
      <c r="L29">
        <f>IF(AND(ISNUMBER(J29),ISNUMBER(K29)),MAX(J29-K29,0),"")</f>
      </c>
      <c r="M29"/>
      <c r="N29"/>
    </row>
    <row r="30">
      <c r="A30" t="inlineStr">
        <is>
          <t>02</t>
        </is>
      </c>
      <c r="B30" t="inlineStr">
        <is>
          <t>02 — Tratamiento de Datos</t>
        </is>
      </c>
      <c r="C30" t="inlineStr">
        <is>
          <t>GroupApply R Alumnos</t>
        </is>
      </c>
      <c r="D30" t="inlineStr">
        <is>
          <t>R Markdown</t>
        </is>
      </c>
      <c r="E30" t="inlineStr">
        <is>
          <t>02-tratamiento-datos/03-practicas/r_exercises_titanic_with_tests/02_GroupApply_R_alumnos.Rmd</t>
        </is>
      </c>
      <c r="F30" t="inlineStr">
        <is>
          <t>Revisar</t>
        </is>
      </c>
      <c r="G30" t="inlineStr">
        <is>
          <t>Pendiente</t>
        </is>
      </c>
      <c r="H30"/>
      <c r="I30"/>
      <c r="J30"/>
      <c r="K30"/>
      <c r="L30">
        <f>IF(AND(ISNUMBER(J30),ISNUMBER(K30)),MAX(J30-K30,0),"")</f>
      </c>
      <c r="M30"/>
      <c r="N30"/>
    </row>
    <row r="31">
      <c r="A31" t="inlineStr">
        <is>
          <t>02</t>
        </is>
      </c>
      <c r="B31" t="inlineStr">
        <is>
          <t>02 — Tratamiento de Datos</t>
        </is>
      </c>
      <c r="C31" t="inlineStr">
        <is>
          <t>Merge R Alumnos</t>
        </is>
      </c>
      <c r="D31" t="inlineStr">
        <is>
          <t>R Markdown</t>
        </is>
      </c>
      <c r="E31" t="inlineStr">
        <is>
          <t>02-tratamiento-datos/03-practicas/r_exercises_titanic_with_tests/03_Merge_R_alumnos.Rmd</t>
        </is>
      </c>
      <c r="F31" t="inlineStr">
        <is>
          <t>Revisar</t>
        </is>
      </c>
      <c r="G31" t="inlineStr">
        <is>
          <t>Pendiente</t>
        </is>
      </c>
      <c r="H31"/>
      <c r="I31"/>
      <c r="J31"/>
      <c r="K31"/>
      <c r="L31">
        <f>IF(AND(ISNUMBER(J31),ISNUMBER(K31)),MAX(J31-K31,0),"")</f>
      </c>
      <c r="M31"/>
      <c r="N31"/>
    </row>
    <row r="32">
      <c r="A32" t="inlineStr">
        <is>
          <t>02</t>
        </is>
      </c>
      <c r="B32" t="inlineStr">
        <is>
          <t>02 — Tratamiento de Datos</t>
        </is>
      </c>
      <c r="C32" t="inlineStr">
        <is>
          <t>TimeSeries R Alumnos</t>
        </is>
      </c>
      <c r="D32" t="inlineStr">
        <is>
          <t>R Markdown</t>
        </is>
      </c>
      <c r="E32" t="inlineStr">
        <is>
          <t>02-tratamiento-datos/03-practicas/r_exercises_titanic_with_tests/04_TimeSeries_R_alumnos.Rmd</t>
        </is>
      </c>
      <c r="F32" t="inlineStr">
        <is>
          <t>Revisar</t>
        </is>
      </c>
      <c r="G32" t="inlineStr">
        <is>
          <t>Pendiente</t>
        </is>
      </c>
      <c r="H32"/>
      <c r="I32"/>
      <c r="J32"/>
      <c r="K32"/>
      <c r="L32">
        <f>IF(AND(ISNUMBER(J32),ISNUMBER(K32)),MAX(J32-K32,0),"")</f>
      </c>
      <c r="M32"/>
      <c r="N32"/>
    </row>
    <row r="33">
      <c r="A33" t="inlineStr">
        <is>
          <t>02</t>
        </is>
      </c>
      <c r="B33" t="inlineStr">
        <is>
          <t>02 — Tratamiento de Datos</t>
        </is>
      </c>
      <c r="C33" t="inlineStr">
        <is>
          <t>Visualization R Alumnos</t>
        </is>
      </c>
      <c r="D33" t="inlineStr">
        <is>
          <t>R Markdown</t>
        </is>
      </c>
      <c r="E33" t="inlineStr">
        <is>
          <t>02-tratamiento-datos/03-practicas/r_exercises_titanic_with_tests/05_Visualization_R_alumnos.Rmd</t>
        </is>
      </c>
      <c r="F33" t="inlineStr">
        <is>
          <t>Revisar</t>
        </is>
      </c>
      <c r="G33" t="inlineStr">
        <is>
          <t>Pendiente</t>
        </is>
      </c>
      <c r="H33"/>
      <c r="I33"/>
      <c r="J33"/>
      <c r="K33"/>
      <c r="L33">
        <f>IF(AND(ISNUMBER(J33),ISNUMBER(K33)),MAX(J33-K33,0),"")</f>
      </c>
      <c r="M33"/>
      <c r="N33"/>
    </row>
    <row r="34">
      <c r="A34" t="inlineStr">
        <is>
          <t>02</t>
        </is>
      </c>
      <c r="B34" t="inlineStr">
        <is>
          <t>02 — Tratamiento de Datos</t>
        </is>
      </c>
      <c r="C34" t="inlineStr">
        <is>
          <t>Comparativa operativa — Pandas ↔ dplyr</t>
        </is>
      </c>
      <c r="D34" t="inlineStr">
        <is>
          <t>guía/rúbrica</t>
        </is>
      </c>
      <c r="E34" t="inlineStr">
        <is>
          <t>02-tratamiento-datos/03-practicas/r_exercises_titanic_with_tests/06_comparativa_pandas_dplyr.md</t>
        </is>
      </c>
      <c r="F34" t="inlineStr">
        <is>
          <t>Revisar</t>
        </is>
      </c>
      <c r="G34" t="inlineStr">
        <is>
          <t>Pendiente</t>
        </is>
      </c>
      <c r="H34"/>
      <c r="I34"/>
      <c r="J34"/>
      <c r="K34"/>
      <c r="L34">
        <f>IF(AND(ISNUMBER(J34),ISNUMBER(K34)),MAX(J34-K34,0),"")</f>
      </c>
      <c r="M34"/>
      <c r="N34"/>
    </row>
    <row r="35">
      <c r="A35" t="inlineStr">
        <is>
          <t>02</t>
        </is>
      </c>
      <c r="B35" t="inlineStr">
        <is>
          <t>02 — Tratamiento de Datos</t>
        </is>
      </c>
      <c r="C35" t="inlineStr">
        <is>
          <t>Entrega — Itinerario opcional R</t>
        </is>
      </c>
      <c r="D35" t="inlineStr">
        <is>
          <t>guía/rúbrica</t>
        </is>
      </c>
      <c r="E35" t="inlineStr">
        <is>
          <t>02-tratamiento-datos/03-practicas/r_exercises_titanic_with_tests/07_entrega_itinerario_R.md</t>
        </is>
      </c>
      <c r="F35" t="inlineStr">
        <is>
          <t>Revisar</t>
        </is>
      </c>
      <c r="G35" t="inlineStr">
        <is>
          <t>Pendiente</t>
        </is>
      </c>
      <c r="H35"/>
      <c r="I35"/>
      <c r="J35"/>
      <c r="K35"/>
      <c r="L35">
        <f>IF(AND(ISNUMBER(J35),ISNUMBER(K35)),MAX(J35-K35,0),"")</f>
      </c>
      <c r="M35"/>
      <c r="N35"/>
    </row>
    <row r="36">
      <c r="A36" t="inlineStr">
        <is>
          <t>02</t>
        </is>
      </c>
      <c r="B36" t="inlineStr">
        <is>
          <t>02 — Tratamiento de Datos</t>
        </is>
      </c>
      <c r="C36" t="inlineStr">
        <is>
          <t>Evaluación base — UD2 Tratamiento de datos</t>
        </is>
      </c>
      <c r="D36" t="inlineStr">
        <is>
          <t>guía/rúbrica</t>
        </is>
      </c>
      <c r="E36" t="inlineStr">
        <is>
          <t>02-tratamiento-datos/04-evaluacion/README.md</t>
        </is>
      </c>
      <c r="F36" t="inlineStr">
        <is>
          <t>Sí</t>
        </is>
      </c>
      <c r="G36" t="inlineStr">
        <is>
          <t>Pendiente</t>
        </is>
      </c>
      <c r="H36"/>
      <c r="I36"/>
      <c r="J36"/>
      <c r="K36"/>
      <c r="L36">
        <f>IF(AND(ISNUMBER(J36),ISNUMBER(K36)),MAX(J36-K36,0),"")</f>
      </c>
      <c r="M36"/>
      <c r="N36"/>
    </row>
    <row r="37">
      <c r="A37" t="inlineStr">
        <is>
          <t>02</t>
        </is>
      </c>
      <c r="B37" t="inlineStr">
        <is>
          <t>02 — Tratamiento de Datos</t>
        </is>
      </c>
      <c r="C37" t="inlineStr">
        <is>
          <t>Checklist de entrega — UD2</t>
        </is>
      </c>
      <c r="D37" t="inlineStr">
        <is>
          <t>guía/rúbrica</t>
        </is>
      </c>
      <c r="E37" t="inlineStr">
        <is>
          <t>02-tratamiento-datos/04-evaluacion/checklist-entrega.md</t>
        </is>
      </c>
      <c r="F37" t="inlineStr">
        <is>
          <t>Sí</t>
        </is>
      </c>
      <c r="G37" t="inlineStr">
        <is>
          <t>Pendiente</t>
        </is>
      </c>
      <c r="H37"/>
      <c r="I37"/>
      <c r="J37"/>
      <c r="K37"/>
      <c r="L37">
        <f>IF(AND(ISNUMBER(J37),ISNUMBER(K37)),MAX(J37-K37,0),"")</f>
      </c>
      <c r="M37"/>
      <c r="N37"/>
    </row>
    <row r="38">
      <c r="A38" t="inlineStr">
        <is>
          <t>02</t>
        </is>
      </c>
      <c r="B38" t="inlineStr">
        <is>
          <t>02 — Tratamiento de Datos</t>
        </is>
      </c>
      <c r="C38" t="inlineStr">
        <is>
          <t>Cuestionario Base</t>
        </is>
      </c>
      <c r="D38" t="inlineStr">
        <is>
          <t>cuestionario</t>
        </is>
      </c>
      <c r="E38" t="inlineStr">
        <is>
          <t>02-tratamiento-datos/04-evaluacion/cuestionario-base.gift</t>
        </is>
      </c>
      <c r="F38" t="inlineStr">
        <is>
          <t>Sí</t>
        </is>
      </c>
      <c r="G38" t="inlineStr">
        <is>
          <t>Pendiente</t>
        </is>
      </c>
      <c r="H38"/>
      <c r="I38"/>
      <c r="J38"/>
      <c r="K38"/>
      <c r="L38">
        <f>IF(AND(ISNUMBER(J38),ISNUMBER(K38)),MAX(J38-K38,0),"")</f>
      </c>
      <c r="M38"/>
      <c r="N38"/>
    </row>
    <row r="39">
      <c r="A39" t="inlineStr">
        <is>
          <t>02</t>
        </is>
      </c>
      <c r="B39" t="inlineStr">
        <is>
          <t>02 — Tratamiento de Datos</t>
        </is>
      </c>
      <c r="C39" t="inlineStr">
        <is>
          <t>Rúbrica — Itinerario opcional R</t>
        </is>
      </c>
      <c r="D39" t="inlineStr">
        <is>
          <t>guía/rúbrica</t>
        </is>
      </c>
      <c r="E39" t="inlineStr">
        <is>
          <t>02-tratamiento-datos/04-evaluacion/rubrica-itinerario-r.md</t>
        </is>
      </c>
      <c r="F39" t="inlineStr">
        <is>
          <t>Sí</t>
        </is>
      </c>
      <c r="G39" t="inlineStr">
        <is>
          <t>Pendiente</t>
        </is>
      </c>
      <c r="H39"/>
      <c r="I39"/>
      <c r="J39"/>
      <c r="K39"/>
      <c r="L39">
        <f>IF(AND(ISNUMBER(J39),ISNUMBER(K39)),MAX(J39-K39,0),"")</f>
      </c>
      <c r="M39"/>
      <c r="N39"/>
    </row>
    <row r="40">
      <c r="A40" t="inlineStr">
        <is>
          <t>02</t>
        </is>
      </c>
      <c r="B40" t="inlineStr">
        <is>
          <t>02 — Tratamiento de Datos</t>
        </is>
      </c>
      <c r="C40" t="inlineStr">
        <is>
          <t>Rúbrica base — UD2 Tratamiento de datos</t>
        </is>
      </c>
      <c r="D40" t="inlineStr">
        <is>
          <t>guía/rúbrica</t>
        </is>
      </c>
      <c r="E40" t="inlineStr">
        <is>
          <t>02-tratamiento-datos/04-evaluacion/rubrica.md</t>
        </is>
      </c>
      <c r="F40" t="inlineStr">
        <is>
          <t>Sí</t>
        </is>
      </c>
      <c r="G40" t="inlineStr">
        <is>
          <t>Pendiente</t>
        </is>
      </c>
      <c r="H40"/>
      <c r="I40"/>
      <c r="J40"/>
      <c r="K40"/>
      <c r="L40">
        <f>IF(AND(ISNUMBER(J40),ISNUMBER(K40)),MAX(J40-K40,0),"")</f>
      </c>
      <c r="M40"/>
      <c r="N40"/>
    </row>
    <row r="41">
      <c r="A41" t="inlineStr">
        <is>
          <t>03</t>
        </is>
      </c>
      <c r="B41" t="inlineStr">
        <is>
          <t>03 - Machine Learning</t>
        </is>
      </c>
      <c r="C41" t="inlineStr">
        <is>
          <t>EDA Todos Los Pasos</t>
        </is>
      </c>
      <c r="D41" t="inlineStr">
        <is>
          <t>guía/rúbrica</t>
        </is>
      </c>
      <c r="E41" t="inlineStr">
        <is>
          <t>03-machine-learning/03-practicas/actividades/00-EDA-todos-los-Pasos.md</t>
        </is>
      </c>
      <c r="F41" t="inlineStr">
        <is>
          <t>Revisar</t>
        </is>
      </c>
      <c r="G41" t="inlineStr">
        <is>
          <t>Pendiente</t>
        </is>
      </c>
      <c r="H41"/>
      <c r="I41"/>
      <c r="J41"/>
      <c r="K41"/>
      <c r="L41">
        <f>IF(AND(ISNUMBER(J41),ISNUMBER(K41)),MAX(J41-K41,0),"")</f>
      </c>
      <c r="M41"/>
      <c r="N41"/>
    </row>
    <row r="42">
      <c r="A42" t="inlineStr">
        <is>
          <t>03</t>
        </is>
      </c>
      <c r="B42" t="inlineStr">
        <is>
          <t>03 - Machine Learning</t>
        </is>
      </c>
      <c r="C42" t="inlineStr">
        <is>
          <t>EDA AmesHousing Regression</t>
        </is>
      </c>
      <c r="D42" t="inlineStr">
        <is>
          <t>notebook</t>
        </is>
      </c>
      <c r="E42" t="inlineStr">
        <is>
          <t>03-machine-learning/03-practicas/actividades/EDA-AmesHousing-Regression.ipynb</t>
        </is>
      </c>
      <c r="F42" t="inlineStr">
        <is>
          <t>Revisar</t>
        </is>
      </c>
      <c r="G42" t="inlineStr">
        <is>
          <t>Pendiente</t>
        </is>
      </c>
      <c r="H42"/>
      <c r="I42"/>
      <c r="J42"/>
      <c r="K42"/>
      <c r="L42">
        <f>IF(AND(ISNUMBER(J42),ISNUMBER(K42)),MAX(J42-K42,0),"")</f>
      </c>
      <c r="M42"/>
      <c r="N42"/>
    </row>
    <row r="43">
      <c r="A43" t="inlineStr">
        <is>
          <t>03</t>
        </is>
      </c>
      <c r="B43" t="inlineStr">
        <is>
          <t>03 - Machine Learning</t>
        </is>
      </c>
      <c r="C43" t="inlineStr">
        <is>
          <t>EDA California Regression</t>
        </is>
      </c>
      <c r="D43" t="inlineStr">
        <is>
          <t>notebook</t>
        </is>
      </c>
      <c r="E43" t="inlineStr">
        <is>
          <t>03-machine-learning/03-practicas/actividades/EDA-California-Regression.ipynb</t>
        </is>
      </c>
      <c r="F43" t="inlineStr">
        <is>
          <t>Revisar</t>
        </is>
      </c>
      <c r="G43" t="inlineStr">
        <is>
          <t>Pendiente</t>
        </is>
      </c>
      <c r="H43"/>
      <c r="I43"/>
      <c r="J43"/>
      <c r="K43"/>
      <c r="L43">
        <f>IF(AND(ISNUMBER(J43),ISNUMBER(K43)),MAX(J43-K43,0),"")</f>
      </c>
      <c r="M43"/>
      <c r="N43"/>
    </row>
    <row r="44">
      <c r="A44" t="inlineStr">
        <is>
          <t>03</t>
        </is>
      </c>
      <c r="B44" t="inlineStr">
        <is>
          <t>03 - Machine Learning</t>
        </is>
      </c>
      <c r="C44" t="inlineStr">
        <is>
          <t>EDA Titanic Clasificacion RAPIDS</t>
        </is>
      </c>
      <c r="D44" t="inlineStr">
        <is>
          <t>notebook</t>
        </is>
      </c>
      <c r="E44" t="inlineStr">
        <is>
          <t>03-machine-learning/03-practicas/actividades/EDA-Titanic-Clasificacion-RAPIDS.ipynb</t>
        </is>
      </c>
      <c r="F44" t="inlineStr">
        <is>
          <t>Revisar</t>
        </is>
      </c>
      <c r="G44" t="inlineStr">
        <is>
          <t>Pendiente</t>
        </is>
      </c>
      <c r="H44"/>
      <c r="I44"/>
      <c r="J44"/>
      <c r="K44"/>
      <c r="L44">
        <f>IF(AND(ISNUMBER(J44),ISNUMBER(K44)),MAX(J44-K44,0),"")</f>
      </c>
      <c r="M44"/>
      <c r="N44"/>
    </row>
    <row r="45">
      <c r="A45" t="inlineStr">
        <is>
          <t>03</t>
        </is>
      </c>
      <c r="B45" t="inlineStr">
        <is>
          <t>03 - Machine Learning</t>
        </is>
      </c>
      <c r="C45" t="inlineStr">
        <is>
          <t>EDA Titanic Clasificacion</t>
        </is>
      </c>
      <c r="D45" t="inlineStr">
        <is>
          <t>notebook</t>
        </is>
      </c>
      <c r="E45" t="inlineStr">
        <is>
          <t>03-machine-learning/03-practicas/actividades/EDA-Titanic-Clasificacion.ipynb</t>
        </is>
      </c>
      <c r="F45" t="inlineStr">
        <is>
          <t>Revisar</t>
        </is>
      </c>
      <c r="G45" t="inlineStr">
        <is>
          <t>Pendiente</t>
        </is>
      </c>
      <c r="H45"/>
      <c r="I45"/>
      <c r="J45"/>
      <c r="K45"/>
      <c r="L45">
        <f>IF(AND(ISNUMBER(J45),ISNUMBER(K45)),MAX(J45-K45,0),"")</f>
      </c>
      <c r="M45"/>
      <c r="N45"/>
    </row>
    <row r="46">
      <c r="A46" t="inlineStr">
        <is>
          <t>03</t>
        </is>
      </c>
      <c r="B46" t="inlineStr">
        <is>
          <t>03 - Machine Learning</t>
        </is>
      </c>
      <c r="C46" t="inlineStr">
        <is>
          <t>Análisis Exploratorio de Datos (EDA) -- Titanic Dataset</t>
        </is>
      </c>
      <c r="D46" t="inlineStr">
        <is>
          <t>guía/rúbrica</t>
        </is>
      </c>
      <c r="E46" t="inlineStr">
        <is>
          <t>03-machine-learning/03-practicas/actividades/EDA_to_Classification-Titanic.md</t>
        </is>
      </c>
      <c r="F46" t="inlineStr">
        <is>
          <t>Revisar</t>
        </is>
      </c>
      <c r="G46" t="inlineStr">
        <is>
          <t>Pendiente</t>
        </is>
      </c>
      <c r="H46"/>
      <c r="I46"/>
      <c r="J46"/>
      <c r="K46"/>
      <c r="L46">
        <f>IF(AND(ISNUMBER(J46),ISNUMBER(K46)),MAX(J46-K46,0),"")</f>
      </c>
      <c r="M46"/>
      <c r="N46"/>
    </row>
    <row r="47">
      <c r="A47" t="inlineStr">
        <is>
          <t>03</t>
        </is>
      </c>
      <c r="B47" t="inlineStr">
        <is>
          <t>03 - Machine Learning</t>
        </is>
      </c>
      <c r="C47" t="inlineStr">
        <is>
          <t>Análisis Exploratorio de Datos (EDA) – Titanic Dataset</t>
        </is>
      </c>
      <c r="D47" t="inlineStr">
        <is>
          <t>guía/rúbrica</t>
        </is>
      </c>
      <c r="E47" t="inlineStr">
        <is>
          <t>03-machine-learning/03-practicas/actividades/UD2_EDA_Clasificacion_Titanic.md</t>
        </is>
      </c>
      <c r="F47" t="inlineStr">
        <is>
          <t>Revisar</t>
        </is>
      </c>
      <c r="G47" t="inlineStr">
        <is>
          <t>Pendiente</t>
        </is>
      </c>
      <c r="H47"/>
      <c r="I47"/>
      <c r="J47"/>
      <c r="K47"/>
      <c r="L47">
        <f>IF(AND(ISNUMBER(J47),ISNUMBER(K47)),MAX(J47-K47,0),"")</f>
      </c>
      <c r="M47"/>
      <c r="N47"/>
    </row>
    <row r="48">
      <c r="A48" t="inlineStr">
        <is>
          <t>03</t>
        </is>
      </c>
      <c r="B48" t="inlineStr">
        <is>
          <t>03 - Machine Learning</t>
        </is>
      </c>
      <c r="C48" t="inlineStr">
        <is>
          <t>Análisis Exploratorio de Datos (EDA) – Ames Housing (Regresión)</t>
        </is>
      </c>
      <c r="D48" t="inlineStr">
        <is>
          <t>guía/rúbrica</t>
        </is>
      </c>
      <c r="E48" t="inlineStr">
        <is>
          <t>03-machine-learning/03-practicas/actividades/UD2_EDA_Regresion_AmesHousing.md</t>
        </is>
      </c>
      <c r="F48" t="inlineStr">
        <is>
          <t>Revisar</t>
        </is>
      </c>
      <c r="G48" t="inlineStr">
        <is>
          <t>Pendiente</t>
        </is>
      </c>
      <c r="H48"/>
      <c r="I48"/>
      <c r="J48"/>
      <c r="K48"/>
      <c r="L48">
        <f>IF(AND(ISNUMBER(J48),ISNUMBER(K48)),MAX(J48-K48,0),"")</f>
      </c>
      <c r="M48"/>
      <c r="N48"/>
    </row>
    <row r="49">
      <c r="A49" t="inlineStr">
        <is>
          <t>03</t>
        </is>
      </c>
      <c r="B49" t="inlineStr">
        <is>
          <t>03 - Machine Learning</t>
        </is>
      </c>
      <c r="C49" t="inlineStr">
        <is>
          <t>vehiculoPycaret</t>
        </is>
      </c>
      <c r="D49" t="inlineStr">
        <is>
          <t>notebook</t>
        </is>
      </c>
      <c r="E49" t="inlineStr">
        <is>
          <t>03-machine-learning/03-practicas/actividades/automl-used-cars/notebooks/vehiculoPycaret.ipynb</t>
        </is>
      </c>
      <c r="F49" t="inlineStr">
        <is>
          <t>Revisar</t>
        </is>
      </c>
      <c r="G49" t="inlineStr">
        <is>
          <t>Pendiente</t>
        </is>
      </c>
      <c r="H49"/>
      <c r="I49"/>
      <c r="J49"/>
      <c r="K49"/>
      <c r="L49">
        <f>IF(AND(ISNUMBER(J49),ISNUMBER(K49)),MAX(J49-K49,0),"")</f>
      </c>
      <c r="M49"/>
      <c r="N49"/>
    </row>
    <row r="50">
      <c r="A50" t="inlineStr">
        <is>
          <t>03</t>
        </is>
      </c>
      <c r="B50" t="inlineStr">
        <is>
          <t>03 - Machine Learning</t>
        </is>
      </c>
      <c r="C50" t="inlineStr">
        <is>
          <t>Rubrica</t>
        </is>
      </c>
      <c r="D50" t="inlineStr">
        <is>
          <t>guía/rúbrica</t>
        </is>
      </c>
      <c r="E50" t="inlineStr">
        <is>
          <t>03-machine-learning/03-practicas/actividades/house-prices-kaggle/docs/rubrica.md</t>
        </is>
      </c>
      <c r="F50" t="inlineStr">
        <is>
          <t>Revisar</t>
        </is>
      </c>
      <c r="G50" t="inlineStr">
        <is>
          <t>Pendiente</t>
        </is>
      </c>
      <c r="H50"/>
      <c r="I50"/>
      <c r="J50"/>
      <c r="K50"/>
      <c r="L50">
        <f>IF(AND(ISNUMBER(J50),ISNUMBER(K50)),MAX(J50-K50,0),"")</f>
      </c>
      <c r="M50"/>
      <c r="N50"/>
    </row>
    <row r="51">
      <c r="A51" t="inlineStr">
        <is>
          <t>03</t>
        </is>
      </c>
      <c r="B51" t="inlineStr">
        <is>
          <t>03 - Machine Learning</t>
        </is>
      </c>
      <c r="C51" t="inlineStr">
        <is>
          <t>House Prices Advanced Regression2</t>
        </is>
      </c>
      <c r="D51" t="inlineStr">
        <is>
          <t>notebook</t>
        </is>
      </c>
      <c r="E51" t="inlineStr">
        <is>
          <t>03-machine-learning/03-practicas/actividades/house-prices-kaggle/notebooks/house_prices_advanced_regression2.ipynb</t>
        </is>
      </c>
      <c r="F51" t="inlineStr">
        <is>
          <t>Revisar</t>
        </is>
      </c>
      <c r="G51" t="inlineStr">
        <is>
          <t>Pendiente</t>
        </is>
      </c>
      <c r="H51"/>
      <c r="I51"/>
      <c r="J51"/>
      <c r="K51"/>
      <c r="L51">
        <f>IF(AND(ISNUMBER(J51),ISNUMBER(K51)),MAX(J51-K51,0),"")</f>
      </c>
      <c r="M51"/>
      <c r="N51"/>
    </row>
    <row r="52">
      <c r="A52" t="inlineStr">
        <is>
          <t>03</t>
        </is>
      </c>
      <c r="B52" t="inlineStr">
        <is>
          <t>03 - Machine Learning</t>
        </is>
      </c>
      <c r="C52" t="inlineStr">
        <is>
          <t>🎬 Actividad Práctica: Construcción de un Dataset de Películas con TMDB + OMDb</t>
        </is>
      </c>
      <c r="D52" t="inlineStr">
        <is>
          <t>guía/rúbrica</t>
        </is>
      </c>
      <c r="E52" t="inlineStr">
        <is>
          <t>03-machine-learning/03-practicas/laboratorios/Lab1/CreacionDataset (1).md</t>
        </is>
      </c>
      <c r="F52" t="inlineStr">
        <is>
          <t>Revisar</t>
        </is>
      </c>
      <c r="G52" t="inlineStr">
        <is>
          <t>Pendiente</t>
        </is>
      </c>
      <c r="H52"/>
      <c r="I52"/>
      <c r="J52"/>
      <c r="K52"/>
      <c r="L52">
        <f>IF(AND(ISNUMBER(J52),ISNUMBER(K52)),MAX(J52-K52,0),"")</f>
      </c>
      <c r="M52"/>
      <c r="N52"/>
    </row>
    <row r="53">
      <c r="A53" t="inlineStr">
        <is>
          <t>03</t>
        </is>
      </c>
      <c r="B53" t="inlineStr">
        <is>
          <t>03 - Machine Learning</t>
        </is>
      </c>
      <c r="C53" t="inlineStr">
        <is>
          <t>🎬 Actividad Práctica: Construcción de un Dataset de Películas con TMDB + OMDb</t>
        </is>
      </c>
      <c r="D53" t="inlineStr">
        <is>
          <t>guía/rúbrica</t>
        </is>
      </c>
      <c r="E53" t="inlineStr">
        <is>
          <t>03-machine-learning/03-practicas/laboratorios/Lab1/CreacionDataset.md</t>
        </is>
      </c>
      <c r="F53" t="inlineStr">
        <is>
          <t>Revisar</t>
        </is>
      </c>
      <c r="G53" t="inlineStr">
        <is>
          <t>Pendiente</t>
        </is>
      </c>
      <c r="H53"/>
      <c r="I53"/>
      <c r="J53"/>
      <c r="K53"/>
      <c r="L53">
        <f>IF(AND(ISNUMBER(J53),ISNUMBER(K53)),MAX(J53-K53,0),"")</f>
      </c>
      <c r="M53"/>
      <c r="N53"/>
    </row>
    <row r="54">
      <c r="A54" t="inlineStr">
        <is>
          <t>03</t>
        </is>
      </c>
      <c r="B54" t="inlineStr">
        <is>
          <t>03 - Machine Learning</t>
        </is>
      </c>
      <c r="C54" t="inlineStr">
        <is>
          <t>EDA MovieLens Guiado</t>
        </is>
      </c>
      <c r="D54" t="inlineStr">
        <is>
          <t>notebook</t>
        </is>
      </c>
      <c r="E54" t="inlineStr">
        <is>
          <t>03-machine-learning/03-practicas/laboratorios/Lab1/EDA_MovieLens_Guiado.ipynb</t>
        </is>
      </c>
      <c r="F54" t="inlineStr">
        <is>
          <t>Revisar</t>
        </is>
      </c>
      <c r="G54" t="inlineStr">
        <is>
          <t>Pendiente</t>
        </is>
      </c>
      <c r="H54"/>
      <c r="I54"/>
      <c r="J54"/>
      <c r="K54"/>
      <c r="L54">
        <f>IF(AND(ISNUMBER(J54),ISNUMBER(K54)),MAX(J54-K54,0),"")</f>
      </c>
      <c r="M54"/>
      <c r="N54"/>
    </row>
    <row r="55">
      <c r="A55" t="inlineStr">
        <is>
          <t>03</t>
        </is>
      </c>
      <c r="B55" t="inlineStr">
        <is>
          <t>03 - Machine Learning</t>
        </is>
      </c>
      <c r="C55" t="inlineStr">
        <is>
          <t>📝 Entrega del Proyecto: Dataset de Películas (TMDB + OMDb)</t>
        </is>
      </c>
      <c r="D55" t="inlineStr">
        <is>
          <t>guía/rúbrica</t>
        </is>
      </c>
      <c r="E55" t="inlineStr">
        <is>
          <t>03-machine-learning/03-practicas/laboratorios/Lab1/Entrega_Proyecto_Dataset_Peliculas.md</t>
        </is>
      </c>
      <c r="F55" t="inlineStr">
        <is>
          <t>Revisar</t>
        </is>
      </c>
      <c r="G55" t="inlineStr">
        <is>
          <t>Pendiente</t>
        </is>
      </c>
      <c r="H55"/>
      <c r="I55"/>
      <c r="J55"/>
      <c r="K55"/>
      <c r="L55">
        <f>IF(AND(ISNUMBER(J55),ISNUMBER(K55)),MAX(J55-K55,0),"")</f>
      </c>
      <c r="M55"/>
      <c r="N55"/>
    </row>
    <row r="56">
      <c r="A56" t="inlineStr">
        <is>
          <t>03</t>
        </is>
      </c>
      <c r="B56" t="inlineStr">
        <is>
          <t>03 - Machine Learning</t>
        </is>
      </c>
      <c r="C56" t="inlineStr">
        <is>
          <t>Main</t>
        </is>
      </c>
      <c r="D56" t="inlineStr">
        <is>
          <t>script</t>
        </is>
      </c>
      <c r="E56" t="inlineStr">
        <is>
          <t>03-machine-learning/03-practicas/laboratorios/Lab1/caso_practico/main.py</t>
        </is>
      </c>
      <c r="F56" t="inlineStr">
        <is>
          <t>Revisar</t>
        </is>
      </c>
      <c r="G56" t="inlineStr">
        <is>
          <t>Pendiente</t>
        </is>
      </c>
      <c r="H56"/>
      <c r="I56"/>
      <c r="J56"/>
      <c r="K56"/>
      <c r="L56">
        <f>IF(AND(ISNUMBER(J56),ISNUMBER(K56)),MAX(J56-K56,0),"")</f>
      </c>
      <c r="M56"/>
      <c r="N56"/>
    </row>
    <row r="57">
      <c r="A57" t="inlineStr">
        <is>
          <t>03</t>
        </is>
      </c>
      <c r="B57" t="inlineStr">
        <is>
          <t>03 - Machine Learning</t>
        </is>
      </c>
      <c r="C57" t="inlineStr">
        <is>
          <t>Experiment MoviesDataSet</t>
        </is>
      </c>
      <c r="D57" t="inlineStr">
        <is>
          <t>notebook</t>
        </is>
      </c>
      <c r="E57" t="inlineStr">
        <is>
          <t>03-machine-learning/03-practicas/laboratorios/Lab1/mi_dataset_peliculas/src/experiment_MoviesDataSet.ipynb</t>
        </is>
      </c>
      <c r="F57" t="inlineStr">
        <is>
          <t>Revisar</t>
        </is>
      </c>
      <c r="G57" t="inlineStr">
        <is>
          <t>Pendiente</t>
        </is>
      </c>
      <c r="H57"/>
      <c r="I57"/>
      <c r="J57"/>
      <c r="K57"/>
      <c r="L57">
        <f>IF(AND(ISNUMBER(J57),ISNUMBER(K57)),MAX(J57-K57,0),"")</f>
      </c>
      <c r="M57"/>
      <c r="N57"/>
    </row>
    <row r="58">
      <c r="A58" t="inlineStr">
        <is>
          <t>03</t>
        </is>
      </c>
      <c r="B58" t="inlineStr">
        <is>
          <t>03 - Machine Learning</t>
        </is>
      </c>
      <c r="C58" t="inlineStr">
        <is>
          <t>Init</t>
        </is>
      </c>
      <c r="D58" t="inlineStr">
        <is>
          <t>script</t>
        </is>
      </c>
      <c r="E58" t="inlineStr">
        <is>
          <t>03-machine-learning/03-practicas/laboratorios/Lab1/mi_dataset_peliculas/src/mi_dataset_peliculas/__init__.py</t>
        </is>
      </c>
      <c r="F58" t="inlineStr">
        <is>
          <t>Revisar</t>
        </is>
      </c>
      <c r="G58" t="inlineStr">
        <is>
          <t>Pendiente</t>
        </is>
      </c>
      <c r="H58"/>
      <c r="I58"/>
      <c r="J58"/>
      <c r="K58"/>
      <c r="L58">
        <f>IF(AND(ISNUMBER(J58),ISNUMBER(K58)),MAX(J58-K58,0),"")</f>
      </c>
      <c r="M58"/>
      <c r="N58"/>
    </row>
    <row r="59">
      <c r="A59" t="inlineStr">
        <is>
          <t>03</t>
        </is>
      </c>
      <c r="B59" t="inlineStr">
        <is>
          <t>03 - Machine Learning</t>
        </is>
      </c>
      <c r="C59" t="inlineStr">
        <is>
          <t>Build Dataset</t>
        </is>
      </c>
      <c r="D59" t="inlineStr">
        <is>
          <t>script</t>
        </is>
      </c>
      <c r="E59" t="inlineStr">
        <is>
          <t>03-machine-learning/03-practicas/laboratorios/Lab1/mi_dataset_peliculas/src/mi_dataset_peliculas/build_dataset.py</t>
        </is>
      </c>
      <c r="F59" t="inlineStr">
        <is>
          <t>Revisar</t>
        </is>
      </c>
      <c r="G59" t="inlineStr">
        <is>
          <t>Pendiente</t>
        </is>
      </c>
      <c r="H59"/>
      <c r="I59"/>
      <c r="J59"/>
      <c r="K59"/>
      <c r="L59">
        <f>IF(AND(ISNUMBER(J59),ISNUMBER(K59)),MAX(J59-K59,0),"")</f>
      </c>
      <c r="M59"/>
      <c r="N59"/>
    </row>
    <row r="60">
      <c r="A60" t="inlineStr">
        <is>
          <t>03</t>
        </is>
      </c>
      <c r="B60" t="inlineStr">
        <is>
          <t>03 - Machine Learning</t>
        </is>
      </c>
      <c r="C60" t="inlineStr">
        <is>
          <t>Config</t>
        </is>
      </c>
      <c r="D60" t="inlineStr">
        <is>
          <t>script</t>
        </is>
      </c>
      <c r="E60" t="inlineStr">
        <is>
          <t>03-machine-learning/03-practicas/laboratorios/Lab1/mi_dataset_peliculas/src/mi_dataset_peliculas/config.py</t>
        </is>
      </c>
      <c r="F60" t="inlineStr">
        <is>
          <t>Revisar</t>
        </is>
      </c>
      <c r="G60" t="inlineStr">
        <is>
          <t>Pendiente</t>
        </is>
      </c>
      <c r="H60"/>
      <c r="I60"/>
      <c r="J60"/>
      <c r="K60"/>
      <c r="L60">
        <f>IF(AND(ISNUMBER(J60),ISNUMBER(K60)),MAX(J60-K60,0),"")</f>
      </c>
      <c r="M60"/>
      <c r="N60"/>
    </row>
    <row r="61">
      <c r="A61" t="inlineStr">
        <is>
          <t>03</t>
        </is>
      </c>
      <c r="B61" t="inlineStr">
        <is>
          <t>03 - Machine Learning</t>
        </is>
      </c>
      <c r="C61" t="inlineStr">
        <is>
          <t>Merge</t>
        </is>
      </c>
      <c r="D61" t="inlineStr">
        <is>
          <t>script</t>
        </is>
      </c>
      <c r="E61" t="inlineStr">
        <is>
          <t>03-machine-learning/03-practicas/laboratorios/Lab1/mi_dataset_peliculas/src/mi_dataset_peliculas/merge.py</t>
        </is>
      </c>
      <c r="F61" t="inlineStr">
        <is>
          <t>Revisar</t>
        </is>
      </c>
      <c r="G61" t="inlineStr">
        <is>
          <t>Pendiente</t>
        </is>
      </c>
      <c r="H61"/>
      <c r="I61"/>
      <c r="J61"/>
      <c r="K61"/>
      <c r="L61">
        <f>IF(AND(ISNUMBER(J61),ISNUMBER(K61)),MAX(J61-K61,0),"")</f>
      </c>
      <c r="M61"/>
      <c r="N61"/>
    </row>
    <row r="62">
      <c r="A62" t="inlineStr">
        <is>
          <t>03</t>
        </is>
      </c>
      <c r="B62" t="inlineStr">
        <is>
          <t>03 - Machine Learning</t>
        </is>
      </c>
      <c r="C62" t="inlineStr">
        <is>
          <t>Omdb</t>
        </is>
      </c>
      <c r="D62" t="inlineStr">
        <is>
          <t>script</t>
        </is>
      </c>
      <c r="E62" t="inlineStr">
        <is>
          <t>03-machine-learning/03-practicas/laboratorios/Lab1/mi_dataset_peliculas/src/mi_dataset_peliculas/omdb.py</t>
        </is>
      </c>
      <c r="F62" t="inlineStr">
        <is>
          <t>Revisar</t>
        </is>
      </c>
      <c r="G62" t="inlineStr">
        <is>
          <t>Pendiente</t>
        </is>
      </c>
      <c r="H62"/>
      <c r="I62"/>
      <c r="J62"/>
      <c r="K62"/>
      <c r="L62">
        <f>IF(AND(ISNUMBER(J62),ISNUMBER(K62)),MAX(J62-K62,0),"")</f>
      </c>
      <c r="M62"/>
      <c r="N62"/>
    </row>
    <row r="63">
      <c r="A63" t="inlineStr">
        <is>
          <t>03</t>
        </is>
      </c>
      <c r="B63" t="inlineStr">
        <is>
          <t>03 - Machine Learning</t>
        </is>
      </c>
      <c r="C63" t="inlineStr">
        <is>
          <t>Tmdb</t>
        </is>
      </c>
      <c r="D63" t="inlineStr">
        <is>
          <t>script</t>
        </is>
      </c>
      <c r="E63" t="inlineStr">
        <is>
          <t>03-machine-learning/03-practicas/laboratorios/Lab1/mi_dataset_peliculas/src/mi_dataset_peliculas/tmdb.py</t>
        </is>
      </c>
      <c r="F63" t="inlineStr">
        <is>
          <t>Revisar</t>
        </is>
      </c>
      <c r="G63" t="inlineStr">
        <is>
          <t>Pendiente</t>
        </is>
      </c>
      <c r="H63"/>
      <c r="I63"/>
      <c r="J63"/>
      <c r="K63"/>
      <c r="L63">
        <f>IF(AND(ISNUMBER(J63),ISNUMBER(K63)),MAX(J63-K63,0),"")</f>
      </c>
      <c r="M63"/>
      <c r="N63"/>
    </row>
    <row r="64">
      <c r="A64" t="inlineStr">
        <is>
          <t>03</t>
        </is>
      </c>
      <c r="B64" t="inlineStr">
        <is>
          <t>03 - Machine Learning</t>
        </is>
      </c>
      <c r="C64" t="inlineStr">
        <is>
          <t>Init</t>
        </is>
      </c>
      <c r="D64" t="inlineStr">
        <is>
          <t>script</t>
        </is>
      </c>
      <c r="E64" t="inlineStr">
        <is>
          <t>03-machine-learning/03-practicas/laboratorios/Lab1/mi_dataset_peliculas/tests/__init__.py</t>
        </is>
      </c>
      <c r="F64" t="inlineStr">
        <is>
          <t>Revisar</t>
        </is>
      </c>
      <c r="G64" t="inlineStr">
        <is>
          <t>Pendiente</t>
        </is>
      </c>
      <c r="H64"/>
      <c r="I64"/>
      <c r="J64"/>
      <c r="K64"/>
      <c r="L64">
        <f>IF(AND(ISNUMBER(J64),ISNUMBER(K64)),MAX(J64-K64,0),"")</f>
      </c>
      <c r="M64"/>
      <c r="N64"/>
    </row>
    <row r="65">
      <c r="A65" t="inlineStr">
        <is>
          <t>03</t>
        </is>
      </c>
      <c r="B65" t="inlineStr">
        <is>
          <t>03 - Machine Learning</t>
        </is>
      </c>
      <c r="C65" t="inlineStr">
        <is>
          <t>🧪 Proyecto de Creación de Dataset Meteorológico</t>
        </is>
      </c>
      <c r="D65" t="inlineStr">
        <is>
          <t>guía/rúbrica</t>
        </is>
      </c>
      <c r="E65" t="inlineStr">
        <is>
          <t>03-machine-learning/03-practicas/laboratorios/Lab2/CreacionDatasetMeteo.md</t>
        </is>
      </c>
      <c r="F65" t="inlineStr">
        <is>
          <t>Revisar</t>
        </is>
      </c>
      <c r="G65" t="inlineStr">
        <is>
          <t>Pendiente</t>
        </is>
      </c>
      <c r="H65"/>
      <c r="I65"/>
      <c r="J65"/>
      <c r="K65"/>
      <c r="L65">
        <f>IF(AND(ISNUMBER(J65),ISNUMBER(K65)),MAX(J65-K65,0),"")</f>
      </c>
      <c r="M65"/>
      <c r="N65"/>
    </row>
    <row r="66">
      <c r="A66" t="inlineStr">
        <is>
          <t>03</t>
        </is>
      </c>
      <c r="B66" t="inlineStr">
        <is>
          <t>03 - Machine Learning</t>
        </is>
      </c>
      <c r="C66" t="inlineStr">
        <is>
          <t>📦 Entrega – Proyecto de Predicción Meteorológica</t>
        </is>
      </c>
      <c r="D66" t="inlineStr">
        <is>
          <t>guía/rúbrica</t>
        </is>
      </c>
      <c r="E66" t="inlineStr">
        <is>
          <t>03-machine-learning/03-practicas/laboratorios/Lab2/Entrega_Dataset_Meteo.md</t>
        </is>
      </c>
      <c r="F66" t="inlineStr">
        <is>
          <t>Revisar</t>
        </is>
      </c>
      <c r="G66" t="inlineStr">
        <is>
          <t>Pendiente</t>
        </is>
      </c>
      <c r="H66"/>
      <c r="I66"/>
      <c r="J66"/>
      <c r="K66"/>
      <c r="L66">
        <f>IF(AND(ISNUMBER(J66),ISNUMBER(K66)),MAX(J66-K66,0),"")</f>
      </c>
      <c r="M66"/>
      <c r="N66"/>
    </row>
    <row r="67">
      <c r="A67" t="inlineStr">
        <is>
          <t>03</t>
        </is>
      </c>
      <c r="B67" t="inlineStr">
        <is>
          <t>03 - Machine Learning</t>
        </is>
      </c>
      <c r="C67" t="inlineStr">
        <is>
          <t>Lab EDA Meteo OpenMeteo AEMET</t>
        </is>
      </c>
      <c r="D67" t="inlineStr">
        <is>
          <t>notebook</t>
        </is>
      </c>
      <c r="E67" t="inlineStr">
        <is>
          <t>03-machine-learning/03-practicas/laboratorios/Lab2/Lab_EDA_Meteo_OpenMeteo_AEMET.ipynb</t>
        </is>
      </c>
      <c r="F67" t="inlineStr">
        <is>
          <t>Revisar</t>
        </is>
      </c>
      <c r="G67" t="inlineStr">
        <is>
          <t>Pendiente</t>
        </is>
      </c>
      <c r="H67"/>
      <c r="I67"/>
      <c r="J67"/>
      <c r="K67"/>
      <c r="L67">
        <f>IF(AND(ISNUMBER(J67),ISNUMBER(K67)),MAX(J67-K67,0),"")</f>
      </c>
      <c r="M67"/>
      <c r="N67"/>
    </row>
    <row r="68">
      <c r="A68" t="inlineStr">
        <is>
          <t>03</t>
        </is>
      </c>
      <c r="B68" t="inlineStr">
        <is>
          <t>03 - Machine Learning</t>
        </is>
      </c>
      <c r="C68" t="inlineStr">
        <is>
          <t>📦 Entrega – Proyecto de Predicción Meteorológica</t>
        </is>
      </c>
      <c r="D68" t="inlineStr">
        <is>
          <t>guía/rúbrica</t>
        </is>
      </c>
      <c r="E68" t="inlineStr">
        <is>
          <t>03-machine-learning/03-practicas/laboratorios/Lab2/MeteoPrediccion/Entrega_Prediccion_Meteo.md</t>
        </is>
      </c>
      <c r="F68" t="inlineStr">
        <is>
          <t>Revisar</t>
        </is>
      </c>
      <c r="G68" t="inlineStr">
        <is>
          <t>Pendiente</t>
        </is>
      </c>
      <c r="H68"/>
      <c r="I68"/>
      <c r="J68"/>
      <c r="K68"/>
      <c r="L68">
        <f>IF(AND(ISNUMBER(J68),ISNUMBER(K68)),MAX(J68-K68,0),"")</f>
      </c>
      <c r="M68"/>
      <c r="N68"/>
    </row>
    <row r="69">
      <c r="A69" t="inlineStr">
        <is>
          <t>03</t>
        </is>
      </c>
      <c r="B69" t="inlineStr">
        <is>
          <t>03 - Machine Learning</t>
        </is>
      </c>
      <c r="C69" t="inlineStr">
        <is>
          <t>Prediccion Meteo Experimental</t>
        </is>
      </c>
      <c r="D69" t="inlineStr">
        <is>
          <t>notebook</t>
        </is>
      </c>
      <c r="E69" t="inlineStr">
        <is>
          <t>03-machine-learning/03-practicas/laboratorios/Lab2/MeteoPrediccion/Prediccion_Meteo_Experimental.ipynb</t>
        </is>
      </c>
      <c r="F69" t="inlineStr">
        <is>
          <t>Revisar</t>
        </is>
      </c>
      <c r="G69" t="inlineStr">
        <is>
          <t>Pendiente</t>
        </is>
      </c>
      <c r="H69"/>
      <c r="I69"/>
      <c r="J69"/>
      <c r="K69"/>
      <c r="L69">
        <f>IF(AND(ISNUMBER(J69),ISNUMBER(K69)),MAX(J69-K69,0),"")</f>
      </c>
      <c r="M69"/>
      <c r="N69"/>
    </row>
    <row r="70">
      <c r="A70" t="inlineStr">
        <is>
          <t>03</t>
        </is>
      </c>
      <c r="B70" t="inlineStr">
        <is>
          <t>03 - Machine Learning</t>
        </is>
      </c>
      <c r="C70" t="inlineStr">
        <is>
          <t>🧪 Actividad opcional: Construcción de tu propio dataset con fuentes abiertas</t>
        </is>
      </c>
      <c r="D70" t="inlineStr">
        <is>
          <t>guía/rúbrica</t>
        </is>
      </c>
      <c r="E70" t="inlineStr">
        <is>
          <t>03-machine-learning/03-practicas/laboratorios/Lab3/CreacionDatasetPropioBigData.md</t>
        </is>
      </c>
      <c r="F70" t="inlineStr">
        <is>
          <t>Revisar</t>
        </is>
      </c>
      <c r="G70" t="inlineStr">
        <is>
          <t>Pendiente</t>
        </is>
      </c>
      <c r="H70"/>
      <c r="I70"/>
      <c r="J70"/>
      <c r="K70"/>
      <c r="L70">
        <f>IF(AND(ISNUMBER(J70),ISNUMBER(K70)),MAX(J70-K70,0),"")</f>
      </c>
      <c r="M70"/>
      <c r="N70"/>
    </row>
    <row r="71">
      <c r="A71" t="inlineStr">
        <is>
          <t>03</t>
        </is>
      </c>
      <c r="B71" t="inlineStr">
        <is>
          <t>03 - Machine Learning</t>
        </is>
      </c>
      <c r="C71" t="inlineStr">
        <is>
          <t>EDA MovieLens Guiado</t>
        </is>
      </c>
      <c r="D71" t="inlineStr">
        <is>
          <t>notebook</t>
        </is>
      </c>
      <c r="E71" t="inlineStr">
        <is>
          <t>03-machine-learning/03-practicas/laboratorios/Lab3/EDA_MovieLens_Guiado.ipynb</t>
        </is>
      </c>
      <c r="F71" t="inlineStr">
        <is>
          <t>Revisar</t>
        </is>
      </c>
      <c r="G71" t="inlineStr">
        <is>
          <t>Pendiente</t>
        </is>
      </c>
      <c r="H71"/>
      <c r="I71"/>
      <c r="J71"/>
      <c r="K71"/>
      <c r="L71">
        <f>IF(AND(ISNUMBER(J71),ISNUMBER(K71)),MAX(J71-K71,0),"")</f>
      </c>
      <c r="M71"/>
      <c r="N71"/>
    </row>
    <row r="72">
      <c r="A72" t="inlineStr">
        <is>
          <t>03</t>
        </is>
      </c>
      <c r="B72" t="inlineStr">
        <is>
          <t>03 - Machine Learning</t>
        </is>
      </c>
      <c r="C72" t="inlineStr">
        <is>
          <t>📦 Entrega del Proyecto: Creación de Dataset Propio</t>
        </is>
      </c>
      <c r="D72" t="inlineStr">
        <is>
          <t>guía/rúbrica</t>
        </is>
      </c>
      <c r="E72" t="inlineStr">
        <is>
          <t>03-machine-learning/03-practicas/laboratorios/Lab3/Entrega_Dataset_Propio.md</t>
        </is>
      </c>
      <c r="F72" t="inlineStr">
        <is>
          <t>Revisar</t>
        </is>
      </c>
      <c r="G72" t="inlineStr">
        <is>
          <t>Pendiente</t>
        </is>
      </c>
      <c r="H72"/>
      <c r="I72"/>
      <c r="J72"/>
      <c r="K72"/>
      <c r="L72">
        <f>IF(AND(ISNUMBER(J72),ISNUMBER(K72)),MAX(J72-K72,0),"")</f>
      </c>
      <c r="M72"/>
      <c r="N72"/>
    </row>
    <row r="73">
      <c r="A73" t="inlineStr">
        <is>
          <t>03</t>
        </is>
      </c>
      <c r="B73" t="inlineStr">
        <is>
          <t>03 - Machine Learning</t>
        </is>
      </c>
      <c r="C73" t="inlineStr">
        <is>
          <t>📌 TEXTO PARA MOODLE / SÉNECA</t>
        </is>
      </c>
      <c r="D73" t="inlineStr">
        <is>
          <t>guía/rúbrica</t>
        </is>
      </c>
      <c r="E73" t="inlineStr">
        <is>
          <t>03-machine-learning/03-practicas/midterm-capstone/Peliculas/00-CapstonePeliculas-Profe.md</t>
        </is>
      </c>
      <c r="F73" t="inlineStr">
        <is>
          <t>Revisar</t>
        </is>
      </c>
      <c r="G73" t="inlineStr">
        <is>
          <t>Pendiente</t>
        </is>
      </c>
      <c r="H73"/>
      <c r="I73"/>
      <c r="J73"/>
      <c r="K73"/>
      <c r="L73">
        <f>IF(AND(ISNUMBER(J73),ISNUMBER(K73)),MAX(J73-K73,0),"")</f>
      </c>
      <c r="M73"/>
      <c r="N73"/>
    </row>
    <row r="74">
      <c r="A74" t="inlineStr">
        <is>
          <t>03</t>
        </is>
      </c>
      <c r="B74" t="inlineStr">
        <is>
          <t>03 - Machine Learning</t>
        </is>
      </c>
      <c r="C74" t="inlineStr">
        <is>
          <t>🧠 Proyecto de IA — Dataset de películas</t>
        </is>
      </c>
      <c r="D74" t="inlineStr">
        <is>
          <t>guía/rúbrica</t>
        </is>
      </c>
      <c r="E74" t="inlineStr">
        <is>
          <t>03-machine-learning/03-practicas/midterm-capstone/Peliculas/00-CapstonePeliculas.md</t>
        </is>
      </c>
      <c r="F74" t="inlineStr">
        <is>
          <t>Revisar</t>
        </is>
      </c>
      <c r="G74" t="inlineStr">
        <is>
          <t>Pendiente</t>
        </is>
      </c>
      <c r="H74"/>
      <c r="I74"/>
      <c r="J74"/>
      <c r="K74"/>
      <c r="L74">
        <f>IF(AND(ISNUMBER(J74),ISNUMBER(K74)),MAX(J74-K74,0),"")</f>
      </c>
      <c r="M74"/>
      <c r="N74"/>
    </row>
    <row r="75">
      <c r="A75" t="inlineStr">
        <is>
          <t>03</t>
        </is>
      </c>
      <c r="B75" t="inlineStr">
        <is>
          <t>03 - Machine Learning</t>
        </is>
      </c>
      <c r="C75" t="inlineStr">
        <is>
          <t>🗣️ CHULETA DEFENSA ORAL</t>
        </is>
      </c>
      <c r="D75" t="inlineStr">
        <is>
          <t>guía/rúbrica</t>
        </is>
      </c>
      <c r="E75" t="inlineStr">
        <is>
          <t>03-machine-learning/03-practicas/midterm-capstone/Peliculas/DefensaOralPeliculas-Chuleta.md</t>
        </is>
      </c>
      <c r="F75" t="inlineStr">
        <is>
          <t>Revisar</t>
        </is>
      </c>
      <c r="G75" t="inlineStr">
        <is>
          <t>Pendiente</t>
        </is>
      </c>
      <c r="H75"/>
      <c r="I75"/>
      <c r="J75"/>
      <c r="K75"/>
      <c r="L75">
        <f>IF(AND(ISNUMBER(J75),ISNUMBER(K75)),MAX(J75-K75,0),"")</f>
      </c>
      <c r="M75"/>
      <c r="N75"/>
    </row>
    <row r="76">
      <c r="A76" t="inlineStr">
        <is>
          <t>03</t>
        </is>
      </c>
      <c r="B76" t="inlineStr">
        <is>
          <t>03 - Machine Learning</t>
        </is>
      </c>
      <c r="C76" t="inlineStr">
        <is>
          <t>🗣️ GUÍA DE DEFENSA ORAL</t>
        </is>
      </c>
      <c r="D76" t="inlineStr">
        <is>
          <t>guía/rúbrica</t>
        </is>
      </c>
      <c r="E76" t="inlineStr">
        <is>
          <t>03-machine-learning/03-practicas/midterm-capstone/Peliculas/DefensaOralPeliculas.md</t>
        </is>
      </c>
      <c r="F76" t="inlineStr">
        <is>
          <t>Revisar</t>
        </is>
      </c>
      <c r="G76" t="inlineStr">
        <is>
          <t>Pendiente</t>
        </is>
      </c>
      <c r="H76"/>
      <c r="I76"/>
      <c r="J76"/>
      <c r="K76"/>
      <c r="L76">
        <f>IF(AND(ISNUMBER(J76),ISNUMBER(K76)),MAX(J76-K76,0),"")</f>
      </c>
      <c r="M76"/>
      <c r="N76"/>
    </row>
    <row r="77">
      <c r="A77" t="inlineStr">
        <is>
          <t>03</t>
        </is>
      </c>
      <c r="B77" t="inlineStr">
        <is>
          <t>03 - Machine Learning</t>
        </is>
      </c>
      <c r="C77" t="inlineStr">
        <is>
          <t>Práctica 1 — Exploración y comprensión del dataset de películas</t>
        </is>
      </c>
      <c r="D77" t="inlineStr">
        <is>
          <t>guía/rúbrica</t>
        </is>
      </c>
      <c r="E77" t="inlineStr">
        <is>
          <t>03-machine-learning/03-practicas/midterm-capstone/Peliculas/Practica_Peliculas_OK/docs/01-P1_EDA_Peliculas.md</t>
        </is>
      </c>
      <c r="F77" t="inlineStr">
        <is>
          <t>Revisar</t>
        </is>
      </c>
      <c r="G77" t="inlineStr">
        <is>
          <t>Pendiente</t>
        </is>
      </c>
      <c r="H77"/>
      <c r="I77"/>
      <c r="J77"/>
      <c r="K77"/>
      <c r="L77">
        <f>IF(AND(ISNUMBER(J77),ISNUMBER(K77)),MAX(J77-K77,0),"")</f>
      </c>
      <c r="M77"/>
      <c r="N77"/>
    </row>
    <row r="78">
      <c r="A78" t="inlineStr">
        <is>
          <t>03</t>
        </is>
      </c>
      <c r="B78" t="inlineStr">
        <is>
          <t>03 - Machine Learning</t>
        </is>
      </c>
      <c r="C78" t="inlineStr">
        <is>
          <t>Práctica 2 — Modelado exploratorio con PyCaret</t>
        </is>
      </c>
      <c r="D78" t="inlineStr">
        <is>
          <t>guía/rúbrica</t>
        </is>
      </c>
      <c r="E78" t="inlineStr">
        <is>
          <t>03-machine-learning/03-practicas/midterm-capstone/Peliculas/Practica_Peliculas_OK/docs/02-P2_Modelado_PyCaret_Peliculas.md</t>
        </is>
      </c>
      <c r="F78" t="inlineStr">
        <is>
          <t>Revisar</t>
        </is>
      </c>
      <c r="G78" t="inlineStr">
        <is>
          <t>Pendiente</t>
        </is>
      </c>
      <c r="H78"/>
      <c r="I78"/>
      <c r="J78"/>
      <c r="K78"/>
      <c r="L78">
        <f>IF(AND(ISNUMBER(J78),ISNUMBER(K78)),MAX(J78-K78,0),"")</f>
      </c>
      <c r="M78"/>
      <c r="N78"/>
    </row>
    <row r="79">
      <c r="A79" t="inlineStr">
        <is>
          <t>03</t>
        </is>
      </c>
      <c r="B79" t="inlineStr">
        <is>
          <t>03 - Machine Learning</t>
        </is>
      </c>
      <c r="C79" t="inlineStr">
        <is>
          <t>Práctica 3 — Modelo final, afinado y conclusiones</t>
        </is>
      </c>
      <c r="D79" t="inlineStr">
        <is>
          <t>guía/rúbrica</t>
        </is>
      </c>
      <c r="E79" t="inlineStr">
        <is>
          <t>03-machine-learning/03-practicas/midterm-capstone/Peliculas/Practica_Peliculas_OK/docs/03-P3_Modelo_Final_Peliculas.md</t>
        </is>
      </c>
      <c r="F79" t="inlineStr">
        <is>
          <t>Revisar</t>
        </is>
      </c>
      <c r="G79" t="inlineStr">
        <is>
          <t>Pendiente</t>
        </is>
      </c>
      <c r="H79"/>
      <c r="I79"/>
      <c r="J79"/>
      <c r="K79"/>
      <c r="L79">
        <f>IF(AND(ISNUMBER(J79),ISNUMBER(K79)),MAX(J79-K79,0),"")</f>
      </c>
      <c r="M79"/>
      <c r="N79"/>
    </row>
    <row r="80">
      <c r="A80" t="inlineStr">
        <is>
          <t>03</t>
        </is>
      </c>
      <c r="B80" t="inlineStr">
        <is>
          <t>03 - Machine Learning</t>
        </is>
      </c>
      <c r="C80" t="inlineStr">
        <is>
          <t>Anexo — Uso de GPU con cuDF y cuML (alternativa)</t>
        </is>
      </c>
      <c r="D80" t="inlineStr">
        <is>
          <t>guía/rúbrica</t>
        </is>
      </c>
      <c r="E80" t="inlineStr">
        <is>
          <t>03-machine-learning/03-practicas/midterm-capstone/Peliculas/Practica_Peliculas_OK/docs/04-ANEXO_GPU_RAPIDS.md</t>
        </is>
      </c>
      <c r="F80" t="inlineStr">
        <is>
          <t>Revisar</t>
        </is>
      </c>
      <c r="G80" t="inlineStr">
        <is>
          <t>Pendiente</t>
        </is>
      </c>
      <c r="H80"/>
      <c r="I80"/>
      <c r="J80"/>
      <c r="K80"/>
      <c r="L80">
        <f>IF(AND(ISNUMBER(J80),ISNUMBER(K80)),MAX(J80-K80,0),"")</f>
      </c>
      <c r="M80"/>
      <c r="N80"/>
    </row>
    <row r="81">
      <c r="A81" t="inlineStr">
        <is>
          <t>03</t>
        </is>
      </c>
      <c r="B81" t="inlineStr">
        <is>
          <t>03 - Machine Learning</t>
        </is>
      </c>
      <c r="C81" t="inlineStr">
        <is>
          <t>Entrega — Proyecto de análisis y modelado de películas</t>
        </is>
      </c>
      <c r="D81" t="inlineStr">
        <is>
          <t>guía/rúbrica</t>
        </is>
      </c>
      <c r="E81" t="inlineStr">
        <is>
          <t>03-machine-learning/03-practicas/midterm-capstone/Peliculas/Practica_Peliculas_OK/docs/05-Plantilla_Entrega_tipo_SBD.md</t>
        </is>
      </c>
      <c r="F81" t="inlineStr">
        <is>
          <t>Revisar</t>
        </is>
      </c>
      <c r="G81" t="inlineStr">
        <is>
          <t>Pendiente</t>
        </is>
      </c>
      <c r="H81"/>
      <c r="I81"/>
      <c r="J81"/>
      <c r="K81"/>
      <c r="L81">
        <f>IF(AND(ISNUMBER(J81),ISNUMBER(K81)),MAX(J81-K81,0),"")</f>
      </c>
      <c r="M81"/>
      <c r="N81"/>
    </row>
    <row r="82">
      <c r="A82" t="inlineStr">
        <is>
          <t>03</t>
        </is>
      </c>
      <c r="B82" t="inlineStr">
        <is>
          <t>03 - Machine Learning</t>
        </is>
      </c>
      <c r="C82" t="inlineStr">
        <is>
          <t>P1 EDA Base</t>
        </is>
      </c>
      <c r="D82" t="inlineStr">
        <is>
          <t>notebook</t>
        </is>
      </c>
      <c r="E82" t="inlineStr">
        <is>
          <t>03-machine-learning/03-practicas/midterm-capstone/Peliculas/Practica_Peliculas_OK/notebooks/alumno/P1_EDA_base.ipynb</t>
        </is>
      </c>
      <c r="F82" t="inlineStr">
        <is>
          <t>Revisar</t>
        </is>
      </c>
      <c r="G82" t="inlineStr">
        <is>
          <t>Pendiente</t>
        </is>
      </c>
      <c r="H82"/>
      <c r="I82"/>
      <c r="J82"/>
      <c r="K82"/>
      <c r="L82">
        <f>IF(AND(ISNUMBER(J82),ISNUMBER(K82)),MAX(J82-K82,0),"")</f>
      </c>
      <c r="M82"/>
      <c r="N82"/>
    </row>
    <row r="83">
      <c r="A83" t="inlineStr">
        <is>
          <t>03</t>
        </is>
      </c>
      <c r="B83" t="inlineStr">
        <is>
          <t>03 - Machine Learning</t>
        </is>
      </c>
      <c r="C83" t="inlineStr">
        <is>
          <t>P2 PyCaret Base</t>
        </is>
      </c>
      <c r="D83" t="inlineStr">
        <is>
          <t>notebook</t>
        </is>
      </c>
      <c r="E83" t="inlineStr">
        <is>
          <t>03-machine-learning/03-practicas/midterm-capstone/Peliculas/Practica_Peliculas_OK/notebooks/alumno/P2_PyCaret_base.ipynb</t>
        </is>
      </c>
      <c r="F83" t="inlineStr">
        <is>
          <t>Revisar</t>
        </is>
      </c>
      <c r="G83" t="inlineStr">
        <is>
          <t>Pendiente</t>
        </is>
      </c>
      <c r="H83"/>
      <c r="I83"/>
      <c r="J83"/>
      <c r="K83"/>
      <c r="L83">
        <f>IF(AND(ISNUMBER(J83),ISNUMBER(K83)),MAX(J83-K83,0),"")</f>
      </c>
      <c r="M83"/>
      <c r="N83"/>
    </row>
    <row r="84">
      <c r="A84" t="inlineStr">
        <is>
          <t>03</t>
        </is>
      </c>
      <c r="B84" t="inlineStr">
        <is>
          <t>03 - Machine Learning</t>
        </is>
      </c>
      <c r="C84" t="inlineStr">
        <is>
          <t>P3 Modelo Base</t>
        </is>
      </c>
      <c r="D84" t="inlineStr">
        <is>
          <t>notebook</t>
        </is>
      </c>
      <c r="E84" t="inlineStr">
        <is>
          <t>03-machine-learning/03-practicas/midterm-capstone/Peliculas/Practica_Peliculas_OK/notebooks/alumno/P3_Modelo_base.ipynb</t>
        </is>
      </c>
      <c r="F84" t="inlineStr">
        <is>
          <t>Revisar</t>
        </is>
      </c>
      <c r="G84" t="inlineStr">
        <is>
          <t>Pendiente</t>
        </is>
      </c>
      <c r="H84"/>
      <c r="I84"/>
      <c r="J84"/>
      <c r="K84"/>
      <c r="L84">
        <f>IF(AND(ISNUMBER(J84),ISNUMBER(K84)),MAX(J84-K84,0),"")</f>
      </c>
      <c r="M84"/>
      <c r="N84"/>
    </row>
    <row r="85">
      <c r="A85" t="inlineStr">
        <is>
          <t>03</t>
        </is>
      </c>
      <c r="B85" t="inlineStr">
        <is>
          <t>03 - Machine Learning</t>
        </is>
      </c>
      <c r="C85" t="inlineStr">
        <is>
          <t>P1 EDA Sol</t>
        </is>
      </c>
      <c r="D85" t="inlineStr">
        <is>
          <t>notebook</t>
        </is>
      </c>
      <c r="E85" t="inlineStr">
        <is>
          <t>03-machine-learning/03-practicas/midterm-capstone/Peliculas/Practica_Peliculas_OK/notebooks/profesor/P1_EDA_sol.ipynb</t>
        </is>
      </c>
      <c r="F85" t="inlineStr">
        <is>
          <t>Revisar</t>
        </is>
      </c>
      <c r="G85" t="inlineStr">
        <is>
          <t>Pendiente</t>
        </is>
      </c>
      <c r="H85"/>
      <c r="I85"/>
      <c r="J85"/>
      <c r="K85"/>
      <c r="L85">
        <f>IF(AND(ISNUMBER(J85),ISNUMBER(K85)),MAX(J85-K85,0),"")</f>
      </c>
      <c r="M85"/>
      <c r="N85"/>
    </row>
    <row r="86">
      <c r="A86" t="inlineStr">
        <is>
          <t>03</t>
        </is>
      </c>
      <c r="B86" t="inlineStr">
        <is>
          <t>03 - Machine Learning</t>
        </is>
      </c>
      <c r="C86" t="inlineStr">
        <is>
          <t>P2 PyCaret Sol</t>
        </is>
      </c>
      <c r="D86" t="inlineStr">
        <is>
          <t>notebook</t>
        </is>
      </c>
      <c r="E86" t="inlineStr">
        <is>
          <t>03-machine-learning/03-practicas/midterm-capstone/Peliculas/Practica_Peliculas_OK/notebooks/profesor/P2_PyCaret_sol.ipynb</t>
        </is>
      </c>
      <c r="F86" t="inlineStr">
        <is>
          <t>Revisar</t>
        </is>
      </c>
      <c r="G86" t="inlineStr">
        <is>
          <t>Pendiente</t>
        </is>
      </c>
      <c r="H86"/>
      <c r="I86"/>
      <c r="J86"/>
      <c r="K86"/>
      <c r="L86">
        <f>IF(AND(ISNUMBER(J86),ISNUMBER(K86)),MAX(J86-K86,0),"")</f>
      </c>
      <c r="M86"/>
      <c r="N86"/>
    </row>
    <row r="87">
      <c r="A87" t="inlineStr">
        <is>
          <t>03</t>
        </is>
      </c>
      <c r="B87" t="inlineStr">
        <is>
          <t>03 - Machine Learning</t>
        </is>
      </c>
      <c r="C87" t="inlineStr">
        <is>
          <t>P3 Modelo Sol</t>
        </is>
      </c>
      <c r="D87" t="inlineStr">
        <is>
          <t>notebook</t>
        </is>
      </c>
      <c r="E87" t="inlineStr">
        <is>
          <t>03-machine-learning/03-practicas/midterm-capstone/Peliculas/Practica_Peliculas_OK/notebooks/profesor/P3_Modelo_sol.ipynb</t>
        </is>
      </c>
      <c r="F87" t="inlineStr">
        <is>
          <t>Revisar</t>
        </is>
      </c>
      <c r="G87" t="inlineStr">
        <is>
          <t>Pendiente</t>
        </is>
      </c>
      <c r="H87"/>
      <c r="I87"/>
      <c r="J87"/>
      <c r="K87"/>
      <c r="L87">
        <f>IF(AND(ISNUMBER(J87),ISNUMBER(K87)),MAX(J87-K87,0),"")</f>
      </c>
      <c r="M87"/>
      <c r="N87"/>
    </row>
    <row r="88">
      <c r="A88" t="inlineStr">
        <is>
          <t>03</t>
        </is>
      </c>
      <c r="B88" t="inlineStr">
        <is>
          <t>03 - Machine Learning</t>
        </is>
      </c>
      <c r="C88" t="inlineStr">
        <is>
          <t>📘 Actividad Práctica – Preparación de Datos y Modelado para Clasificación</t>
        </is>
      </c>
      <c r="D88" t="inlineStr">
        <is>
          <t>guía/rúbrica</t>
        </is>
      </c>
      <c r="E88" t="inlineStr">
        <is>
          <t>03-machine-learning/03-practicas/tarea07/00-Tarea-Eda-DataPrep-Clasif.md</t>
        </is>
      </c>
      <c r="F88" t="inlineStr">
        <is>
          <t>Revisar</t>
        </is>
      </c>
      <c r="G88" t="inlineStr">
        <is>
          <t>Pendiente</t>
        </is>
      </c>
      <c r="H88"/>
      <c r="I88"/>
      <c r="J88"/>
      <c r="K88"/>
      <c r="L88">
        <f>IF(AND(ISNUMBER(J88),ISNUMBER(K88)),MAX(J88-K88,0),"")</f>
      </c>
      <c r="M88"/>
      <c r="N88"/>
    </row>
    <row r="89">
      <c r="A89" t="inlineStr">
        <is>
          <t>03</t>
        </is>
      </c>
      <c r="B89" t="inlineStr">
        <is>
          <t>03 - Machine Learning</t>
        </is>
      </c>
      <c r="C89" t="inlineStr">
        <is>
          <t>Actividad Bank Marketing</t>
        </is>
      </c>
      <c r="D89" t="inlineStr">
        <is>
          <t>notebook</t>
        </is>
      </c>
      <c r="E89" t="inlineStr">
        <is>
          <t>03-machine-learning/03-practicas/tarea07/Actividad-Bank-Marketing.ipynb</t>
        </is>
      </c>
      <c r="F89" t="inlineStr">
        <is>
          <t>Revisar</t>
        </is>
      </c>
      <c r="G89" t="inlineStr">
        <is>
          <t>Pendiente</t>
        </is>
      </c>
      <c r="H89"/>
      <c r="I89"/>
      <c r="J89"/>
      <c r="K89"/>
      <c r="L89">
        <f>IF(AND(ISNUMBER(J89),ISNUMBER(K89)),MAX(J89-K89,0),"")</f>
      </c>
      <c r="M89"/>
      <c r="N89"/>
    </row>
    <row r="90">
      <c r="A90" t="inlineStr">
        <is>
          <t>03</t>
        </is>
      </c>
      <c r="B90" t="inlineStr">
        <is>
          <t>03 - Machine Learning</t>
        </is>
      </c>
      <c r="C90" t="inlineStr">
        <is>
          <t>Actividad Bank Marketing</t>
        </is>
      </c>
      <c r="D90" t="inlineStr">
        <is>
          <t>notebook</t>
        </is>
      </c>
      <c r="E90" t="inlineStr">
        <is>
          <t>03-machine-learning/03-practicas/tarea08/Actividad-Bank-Marketing.ipynb</t>
        </is>
      </c>
      <c r="F90" t="inlineStr">
        <is>
          <t>Revisar</t>
        </is>
      </c>
      <c r="G90" t="inlineStr">
        <is>
          <t>Pendiente</t>
        </is>
      </c>
      <c r="H90"/>
      <c r="I90"/>
      <c r="J90"/>
      <c r="K90"/>
      <c r="L90">
        <f>IF(AND(ISNUMBER(J90),ISNUMBER(K90)),MAX(J90-K90,0),"")</f>
      </c>
      <c r="M90"/>
      <c r="N90"/>
    </row>
    <row r="91">
      <c r="A91" t="inlineStr">
        <is>
          <t>03</t>
        </is>
      </c>
      <c r="B91" t="inlineStr">
        <is>
          <t>03 - Machine Learning</t>
        </is>
      </c>
      <c r="C91" t="inlineStr">
        <is>
          <t>📊 Rúbrica — Proyecto Dataset de Películas (PIA)</t>
        </is>
      </c>
      <c r="D91" t="inlineStr">
        <is>
          <t>guía/rúbrica</t>
        </is>
      </c>
      <c r="E91" t="inlineStr">
        <is>
          <t>03-machine-learning/04-evaluacion/06-Rubrica_Peliculas.md</t>
        </is>
      </c>
      <c r="F91" t="inlineStr">
        <is>
          <t>Sí</t>
        </is>
      </c>
      <c r="G91" t="inlineStr">
        <is>
          <t>Pendiente</t>
        </is>
      </c>
      <c r="H91"/>
      <c r="I91"/>
      <c r="J91"/>
      <c r="K91"/>
      <c r="L91">
        <f>IF(AND(ISNUMBER(J91),ISNUMBER(K91)),MAX(J91-K91,0),"")</f>
      </c>
      <c r="M91"/>
      <c r="N91"/>
    </row>
    <row r="92">
      <c r="A92" t="inlineStr">
        <is>
          <t>03</t>
        </is>
      </c>
      <c r="B92" t="inlineStr">
        <is>
          <t>03 - Machine Learning</t>
        </is>
      </c>
      <c r="C92" t="inlineStr">
        <is>
          <t>Cuestionario Bank Marketing</t>
        </is>
      </c>
      <c r="D92" t="inlineStr">
        <is>
          <t>cuestionario</t>
        </is>
      </c>
      <c r="E92" t="inlineStr">
        <is>
          <t>03-machine-learning/04-evaluacion/Cuestionario-Bank-Marketing.gift</t>
        </is>
      </c>
      <c r="F92" t="inlineStr">
        <is>
          <t>Sí</t>
        </is>
      </c>
      <c r="G92" t="inlineStr">
        <is>
          <t>Pendiente</t>
        </is>
      </c>
      <c r="H92"/>
      <c r="I92"/>
      <c r="J92"/>
      <c r="K92"/>
      <c r="L92">
        <f>IF(AND(ISNUMBER(J92),ISNUMBER(K92)),MAX(J92-K92,0),"")</f>
      </c>
      <c r="M92"/>
      <c r="N92"/>
    </row>
    <row r="93">
      <c r="A93" t="inlineStr">
        <is>
          <t>03</t>
        </is>
      </c>
      <c r="B93" t="inlineStr">
        <is>
          <t>03 - Machine Learning</t>
        </is>
      </c>
      <c r="C93" t="inlineStr">
        <is>
          <t>Evaluación — UD3 Machine Learning</t>
        </is>
      </c>
      <c r="D93" t="inlineStr">
        <is>
          <t>guía/rúbrica</t>
        </is>
      </c>
      <c r="E93" t="inlineStr">
        <is>
          <t>03-machine-learning/04-evaluacion/README.md</t>
        </is>
      </c>
      <c r="F93" t="inlineStr">
        <is>
          <t>Sí</t>
        </is>
      </c>
      <c r="G93" t="inlineStr">
        <is>
          <t>Pendiente</t>
        </is>
      </c>
      <c r="H93"/>
      <c r="I93"/>
      <c r="J93"/>
      <c r="K93"/>
      <c r="L93">
        <f>IF(AND(ISNUMBER(J93),ISNUMBER(K93)),MAX(J93-K93,0),"")</f>
      </c>
      <c r="M93"/>
      <c r="N93"/>
    </row>
    <row r="94">
      <c r="A94" t="inlineStr">
        <is>
          <t>03</t>
        </is>
      </c>
      <c r="B94" t="inlineStr">
        <is>
          <t>03 - Machine Learning</t>
        </is>
      </c>
      <c r="C94" t="inlineStr">
        <is>
          <t>📘 RÚBRICA ALINEADA A RA / CE — PIA</t>
        </is>
      </c>
      <c r="D94" t="inlineStr">
        <is>
          <t>guía/rúbrica</t>
        </is>
      </c>
      <c r="E94" t="inlineStr">
        <is>
          <t>03-machine-learning/04-evaluacion/RubricaPeliculas.md</t>
        </is>
      </c>
      <c r="F94" t="inlineStr">
        <is>
          <t>Sí</t>
        </is>
      </c>
      <c r="G94" t="inlineStr">
        <is>
          <t>Pendiente</t>
        </is>
      </c>
      <c r="H94"/>
      <c r="I94"/>
      <c r="J94"/>
      <c r="K94"/>
      <c r="L94">
        <f>IF(AND(ISNUMBER(J94),ISNUMBER(K94)),MAX(J94-K94,0),"")</f>
      </c>
      <c r="M94"/>
      <c r="N94"/>
    </row>
    <row r="95">
      <c r="A95" t="inlineStr">
        <is>
          <t>03</t>
        </is>
      </c>
      <c r="B95" t="inlineStr">
        <is>
          <t>03 - Machine Learning</t>
        </is>
      </c>
      <c r="C95" t="inlineStr">
        <is>
          <t>Checklist de entrega — UD3 Machine Learning</t>
        </is>
      </c>
      <c r="D95" t="inlineStr">
        <is>
          <t>guía/rúbrica</t>
        </is>
      </c>
      <c r="E95" t="inlineStr">
        <is>
          <t>03-machine-learning/04-evaluacion/checklist-entrega.md</t>
        </is>
      </c>
      <c r="F95" t="inlineStr">
        <is>
          <t>Sí</t>
        </is>
      </c>
      <c r="G95" t="inlineStr">
        <is>
          <t>Pendiente</t>
        </is>
      </c>
      <c r="H95"/>
      <c r="I95"/>
      <c r="J95"/>
      <c r="K95"/>
      <c r="L95">
        <f>IF(AND(ISNUMBER(J95),ISNUMBER(K95)),MAX(J95-K95,0),"")</f>
      </c>
      <c r="M95"/>
      <c r="N95"/>
    </row>
    <row r="96">
      <c r="A96" t="inlineStr">
        <is>
          <t>03</t>
        </is>
      </c>
      <c r="B96" t="inlineStr">
        <is>
          <t>03 - Machine Learning</t>
        </is>
      </c>
      <c r="C96" t="inlineStr">
        <is>
          <t>Rúbrica de Evaluación – Proyecto de Dataset Personalizado</t>
        </is>
      </c>
      <c r="D96" t="inlineStr">
        <is>
          <t>guía/rúbrica</t>
        </is>
      </c>
      <c r="E96" t="inlineStr">
        <is>
          <t>03-machine-learning/04-evaluacion/rubrica_datasets_peliculas.md</t>
        </is>
      </c>
      <c r="F96" t="inlineStr">
        <is>
          <t>Sí</t>
        </is>
      </c>
      <c r="G96" t="inlineStr">
        <is>
          <t>Pendiente</t>
        </is>
      </c>
      <c r="H96"/>
      <c r="I96"/>
      <c r="J96"/>
      <c r="K96"/>
      <c r="L96">
        <f>IF(AND(ISNUMBER(J96),ISNUMBER(K96)),MAX(J96-K96,0),"")</f>
      </c>
      <c r="M96"/>
      <c r="N96"/>
    </row>
    <row r="97">
      <c r="A97" t="inlineStr">
        <is>
          <t>04</t>
        </is>
      </c>
      <c r="B97" t="inlineStr">
        <is>
          <t>04 - Deep Learning</t>
        </is>
      </c>
      <c r="C97" t="inlineStr">
        <is>
          <t>🧪 RÚBRICA — LABORATORIO 1</t>
        </is>
      </c>
      <c r="D97" t="inlineStr">
        <is>
          <t>guía/rúbrica</t>
        </is>
      </c>
      <c r="E97" t="inlineStr">
        <is>
          <t>04-deep-learning/03-practicas/laboratorios/Laboratorio1/TensorFlowPlayGround-Rubrica.md</t>
        </is>
      </c>
      <c r="F97" t="inlineStr">
        <is>
          <t>Revisar</t>
        </is>
      </c>
      <c r="G97" t="inlineStr">
        <is>
          <t>Pendiente</t>
        </is>
      </c>
      <c r="H97"/>
      <c r="I97"/>
      <c r="J97"/>
      <c r="K97"/>
      <c r="L97">
        <f>IF(AND(ISNUMBER(J97),ISNUMBER(K97)),MAX(J97-K97,0),"")</f>
      </c>
      <c r="M97"/>
      <c r="N97"/>
    </row>
    <row r="98">
      <c r="A98" t="inlineStr">
        <is>
          <t>04</t>
        </is>
      </c>
      <c r="B98" t="inlineStr">
        <is>
          <t>04 - Deep Learning</t>
        </is>
      </c>
      <c r="C98" t="inlineStr">
        <is>
          <t>Entrega — Laboratorio TensorFlow Playground</t>
        </is>
      </c>
      <c r="D98" t="inlineStr">
        <is>
          <t>guía/rúbrica</t>
        </is>
      </c>
      <c r="E98" t="inlineStr">
        <is>
          <t>04-deep-learning/03-practicas/laboratorios/Laboratorio1/TensorFlowPlayGround_Entrega.md</t>
        </is>
      </c>
      <c r="F98" t="inlineStr">
        <is>
          <t>Revisar</t>
        </is>
      </c>
      <c r="G98" t="inlineStr">
        <is>
          <t>Pendiente</t>
        </is>
      </c>
      <c r="H98"/>
      <c r="I98"/>
      <c r="J98"/>
      <c r="K98"/>
      <c r="L98">
        <f>IF(AND(ISNUMBER(J98),ISNUMBER(K98)),MAX(J98-K98,0),"")</f>
      </c>
      <c r="M98"/>
      <c r="N98"/>
    </row>
    <row r="99">
      <c r="A99" t="inlineStr">
        <is>
          <t>04</t>
        </is>
      </c>
      <c r="B99" t="inlineStr">
        <is>
          <t>04 - Deep Learning</t>
        </is>
      </c>
      <c r="C99" t="inlineStr">
        <is>
          <t>Tf Playground Datasets</t>
        </is>
      </c>
      <c r="D99" t="inlineStr">
        <is>
          <t>notebook</t>
        </is>
      </c>
      <c r="E99" t="inlineStr">
        <is>
          <t>04-deep-learning/03-practicas/laboratorios/Laboratorio1/tf-playground-datasets.ipynb</t>
        </is>
      </c>
      <c r="F99" t="inlineStr">
        <is>
          <t>Revisar</t>
        </is>
      </c>
      <c r="G99" t="inlineStr">
        <is>
          <t>Pendiente</t>
        </is>
      </c>
      <c r="H99"/>
      <c r="I99"/>
      <c r="J99"/>
      <c r="K99"/>
      <c r="L99">
        <f>IF(AND(ISNUMBER(J99),ISNUMBER(K99)),MAX(J99-K99,0),"")</f>
      </c>
      <c r="M99"/>
      <c r="N99"/>
    </row>
    <row r="100">
      <c r="A100" t="inlineStr">
        <is>
          <t>04</t>
        </is>
      </c>
      <c r="B100" t="inlineStr">
        <is>
          <t>04 - Deep Learning</t>
        </is>
      </c>
      <c r="C100" t="inlineStr">
        <is>
          <t>📄 Entrega — Laboratorio 2</t>
        </is>
      </c>
      <c r="D100" t="inlineStr">
        <is>
          <t>guía/rúbrica</t>
        </is>
      </c>
      <c r="E100" t="inlineStr">
        <is>
          <t>04-deep-learning/03-practicas/laboratorios/Laboratorio2/EstudioImplementacionBackpropagation-Entrega.md</t>
        </is>
      </c>
      <c r="F100" t="inlineStr">
        <is>
          <t>Revisar</t>
        </is>
      </c>
      <c r="G100" t="inlineStr">
        <is>
          <t>Pendiente</t>
        </is>
      </c>
      <c r="H100"/>
      <c r="I100"/>
      <c r="J100"/>
      <c r="K100"/>
      <c r="L100">
        <f>IF(AND(ISNUMBER(J100),ISNUMBER(K100)),MAX(J100-K100,0),"")</f>
      </c>
      <c r="M100"/>
      <c r="N100"/>
    </row>
    <row r="101">
      <c r="A101" t="inlineStr">
        <is>
          <t>04</t>
        </is>
      </c>
      <c r="B101" t="inlineStr">
        <is>
          <t>04 - Deep Learning</t>
        </is>
      </c>
      <c r="C101" t="inlineStr">
        <is>
          <t>🧪 RÚBRICA — LABORATORIO 2</t>
        </is>
      </c>
      <c r="D101" t="inlineStr">
        <is>
          <t>guía/rúbrica</t>
        </is>
      </c>
      <c r="E101" t="inlineStr">
        <is>
          <t>04-deep-learning/03-practicas/laboratorios/Laboratorio2/EstudioImplementacionBackpropagation-Rubrica.md</t>
        </is>
      </c>
      <c r="F101" t="inlineStr">
        <is>
          <t>Revisar</t>
        </is>
      </c>
      <c r="G101" t="inlineStr">
        <is>
          <t>Pendiente</t>
        </is>
      </c>
      <c r="H101"/>
      <c r="I101"/>
      <c r="J101"/>
      <c r="K101"/>
      <c r="L101">
        <f>IF(AND(ISNUMBER(J101),ISNUMBER(K101)),MAX(J101-K101,0),"")</f>
      </c>
      <c r="M101"/>
      <c r="N101"/>
    </row>
    <row r="102">
      <c r="A102" t="inlineStr">
        <is>
          <t>04</t>
        </is>
      </c>
      <c r="B102" t="inlineStr">
        <is>
          <t>04 - Deep Learning</t>
        </is>
      </c>
      <c r="C102" t="inlineStr">
        <is>
          <t>backPropScratch</t>
        </is>
      </c>
      <c r="D102" t="inlineStr">
        <is>
          <t>script</t>
        </is>
      </c>
      <c r="E102" t="inlineStr">
        <is>
          <t>04-deep-learning/03-practicas/laboratorios/Laboratorio2/backPropScratch.py</t>
        </is>
      </c>
      <c r="F102" t="inlineStr">
        <is>
          <t>Revisar</t>
        </is>
      </c>
      <c r="G102" t="inlineStr">
        <is>
          <t>Pendiente</t>
        </is>
      </c>
      <c r="H102"/>
      <c r="I102"/>
      <c r="J102"/>
      <c r="K102"/>
      <c r="L102">
        <f>IF(AND(ISNUMBER(J102),ISNUMBER(K102)),MAX(J102-K102,0),"")</f>
      </c>
      <c r="M102"/>
      <c r="N102"/>
    </row>
    <row r="103">
      <c r="A103" t="inlineStr">
        <is>
          <t>04</t>
        </is>
      </c>
      <c r="B103" t="inlineStr">
        <is>
          <t>04 - Deep Learning</t>
        </is>
      </c>
      <c r="C103" t="inlineStr">
        <is>
          <t>backpropagationRNAscratch</t>
        </is>
      </c>
      <c r="D103" t="inlineStr">
        <is>
          <t>script</t>
        </is>
      </c>
      <c r="E103" t="inlineStr">
        <is>
          <t>04-deep-learning/03-practicas/laboratorios/Laboratorio2/backpropagationRNAscratch.py</t>
        </is>
      </c>
      <c r="F103" t="inlineStr">
        <is>
          <t>Revisar</t>
        </is>
      </c>
      <c r="G103" t="inlineStr">
        <is>
          <t>Pendiente</t>
        </is>
      </c>
      <c r="H103"/>
      <c r="I103"/>
      <c r="J103"/>
      <c r="K103"/>
      <c r="L103">
        <f>IF(AND(ISNUMBER(J103),ISNUMBER(K103)),MAX(J103-K103,0),"")</f>
      </c>
      <c r="M103"/>
      <c r="N103"/>
    </row>
    <row r="104">
      <c r="A104" t="inlineStr">
        <is>
          <t>04</t>
        </is>
      </c>
      <c r="B104" t="inlineStr">
        <is>
          <t>04 - Deep Learning</t>
        </is>
      </c>
      <c r="C104" t="inlineStr">
        <is>
          <t>📄 Entrega — Laboratorio 3</t>
        </is>
      </c>
      <c r="D104" t="inlineStr">
        <is>
          <t>guía/rúbrica</t>
        </is>
      </c>
      <c r="E104" t="inlineStr">
        <is>
          <t>04-deep-learning/03-practicas/laboratorios/Laboratorio3/DePlayground_a_CodigoReal-Entrega.md</t>
        </is>
      </c>
      <c r="F104" t="inlineStr">
        <is>
          <t>Revisar</t>
        </is>
      </c>
      <c r="G104" t="inlineStr">
        <is>
          <t>Pendiente</t>
        </is>
      </c>
      <c r="H104"/>
      <c r="I104"/>
      <c r="J104"/>
      <c r="K104"/>
      <c r="L104">
        <f>IF(AND(ISNUMBER(J104),ISNUMBER(K104)),MAX(J104-K104,0),"")</f>
      </c>
      <c r="M104"/>
      <c r="N104"/>
    </row>
    <row r="105">
      <c r="A105" t="inlineStr">
        <is>
          <t>04</t>
        </is>
      </c>
      <c r="B105" t="inlineStr">
        <is>
          <t>04 - Deep Learning</t>
        </is>
      </c>
      <c r="C105" t="inlineStr">
        <is>
          <t>🧪 RÚBRICA — LABORATORIO 3</t>
        </is>
      </c>
      <c r="D105" t="inlineStr">
        <is>
          <t>guía/rúbrica</t>
        </is>
      </c>
      <c r="E105" t="inlineStr">
        <is>
          <t>04-deep-learning/03-practicas/laboratorios/Laboratorio3/DePlayground_a_CodigoReal-Rubrica.md</t>
        </is>
      </c>
      <c r="F105" t="inlineStr">
        <is>
          <t>Revisar</t>
        </is>
      </c>
      <c r="G105" t="inlineStr">
        <is>
          <t>Pendiente</t>
        </is>
      </c>
      <c r="H105"/>
      <c r="I105"/>
      <c r="J105"/>
      <c r="K105"/>
      <c r="L105">
        <f>IF(AND(ISNUMBER(J105),ISNUMBER(K105)),MAX(J105-K105,0),"")</f>
      </c>
      <c r="M105"/>
      <c r="N105"/>
    </row>
    <row r="106">
      <c r="A106" t="inlineStr">
        <is>
          <t>04</t>
        </is>
      </c>
      <c r="B106" t="inlineStr">
        <is>
          <t>04 - Deep Learning</t>
        </is>
      </c>
      <c r="C106" t="inlineStr">
        <is>
          <t>🧪 Laboratorio Puente — Del Playground al Código Real</t>
        </is>
      </c>
      <c r="D106" t="inlineStr">
        <is>
          <t>guía/rúbrica</t>
        </is>
      </c>
      <c r="E106" t="inlineStr">
        <is>
          <t>04-deep-learning/03-practicas/laboratorios/Laboratorio3/DePlayground_a_CodigoReal.md</t>
        </is>
      </c>
      <c r="F106" t="inlineStr">
        <is>
          <t>Revisar</t>
        </is>
      </c>
      <c r="G106" t="inlineStr">
        <is>
          <t>Pendiente</t>
        </is>
      </c>
      <c r="H106"/>
      <c r="I106"/>
      <c r="J106"/>
      <c r="K106"/>
      <c r="L106">
        <f>IF(AND(ISNUMBER(J106),ISNUMBER(K106)),MAX(J106-K106,0),"")</f>
      </c>
      <c r="M106"/>
      <c r="N106"/>
    </row>
    <row r="107">
      <c r="A107" t="inlineStr">
        <is>
          <t>04</t>
        </is>
      </c>
      <c r="B107" t="inlineStr">
        <is>
          <t>04 - Deep Learning</t>
        </is>
      </c>
      <c r="C107" t="inlineStr">
        <is>
          <t>Ejemplo Keras3</t>
        </is>
      </c>
      <c r="D107" t="inlineStr">
        <is>
          <t>notebook</t>
        </is>
      </c>
      <c r="E107" t="inlineStr">
        <is>
          <t>04-deep-learning/03-practicas/modelado-notebooks/fundamentos/01_Ejemplo_Keras3.ipynb</t>
        </is>
      </c>
      <c r="F107" t="inlineStr">
        <is>
          <t>Revisar</t>
        </is>
      </c>
      <c r="G107" t="inlineStr">
        <is>
          <t>Pendiente</t>
        </is>
      </c>
      <c r="H107"/>
      <c r="I107"/>
      <c r="J107"/>
      <c r="K107"/>
      <c r="L107">
        <f>IF(AND(ISNUMBER(J107),ISNUMBER(K107)),MAX(J107-K107,0),"")</f>
      </c>
      <c r="M107"/>
      <c r="N107"/>
    </row>
    <row r="108">
      <c r="A108" t="inlineStr">
        <is>
          <t>04</t>
        </is>
      </c>
      <c r="B108" t="inlineStr">
        <is>
          <t>04 - Deep Learning</t>
        </is>
      </c>
      <c r="C108" t="inlineStr">
        <is>
          <t>Ejemplo PyTorch</t>
        </is>
      </c>
      <c r="D108" t="inlineStr">
        <is>
          <t>notebook</t>
        </is>
      </c>
      <c r="E108" t="inlineStr">
        <is>
          <t>04-deep-learning/03-practicas/modelado-notebooks/fundamentos/02_Ejemplo_PyTorch.ipynb</t>
        </is>
      </c>
      <c r="F108" t="inlineStr">
        <is>
          <t>Revisar</t>
        </is>
      </c>
      <c r="G108" t="inlineStr">
        <is>
          <t>Pendiente</t>
        </is>
      </c>
      <c r="H108"/>
      <c r="I108"/>
      <c r="J108"/>
      <c r="K108"/>
      <c r="L108">
        <f>IF(AND(ISNUMBER(J108),ISNUMBER(K108)),MAX(J108-K108,0),"")</f>
      </c>
      <c r="M108"/>
      <c r="N108"/>
    </row>
    <row r="109">
      <c r="A109" t="inlineStr">
        <is>
          <t>04</t>
        </is>
      </c>
      <c r="B109" t="inlineStr">
        <is>
          <t>04 - Deep Learning</t>
        </is>
      </c>
      <c r="C109" t="inlineStr">
        <is>
          <t>Ejemplo JAX Flax</t>
        </is>
      </c>
      <c r="D109" t="inlineStr">
        <is>
          <t>notebook</t>
        </is>
      </c>
      <c r="E109" t="inlineStr">
        <is>
          <t>04-deep-learning/03-practicas/modelado-notebooks/fundamentos/03_Ejemplo_JAX_Flax.ipynb</t>
        </is>
      </c>
      <c r="F109" t="inlineStr">
        <is>
          <t>Revisar</t>
        </is>
      </c>
      <c r="G109" t="inlineStr">
        <is>
          <t>Pendiente</t>
        </is>
      </c>
      <c r="H109"/>
      <c r="I109"/>
      <c r="J109"/>
      <c r="K109"/>
      <c r="L109">
        <f>IF(AND(ISNUMBER(J109),ISNUMBER(K109)),MAX(J109-K109,0),"")</f>
      </c>
      <c r="M109"/>
      <c r="N109"/>
    </row>
    <row r="110">
      <c r="A110" t="inlineStr">
        <is>
          <t>04</t>
        </is>
      </c>
      <c r="B110" t="inlineStr">
        <is>
          <t>04 - Deep Learning</t>
        </is>
      </c>
      <c r="C110" t="inlineStr">
        <is>
          <t>Ejemplo TensorFlow</t>
        </is>
      </c>
      <c r="D110" t="inlineStr">
        <is>
          <t>notebook</t>
        </is>
      </c>
      <c r="E110" t="inlineStr">
        <is>
          <t>04-deep-learning/03-practicas/modelado-notebooks/fundamentos/04_Ejemplo_TensorFlow.ipynb</t>
        </is>
      </c>
      <c r="F110" t="inlineStr">
        <is>
          <t>Revisar</t>
        </is>
      </c>
      <c r="G110" t="inlineStr">
        <is>
          <t>Pendiente</t>
        </is>
      </c>
      <c r="H110"/>
      <c r="I110"/>
      <c r="J110"/>
      <c r="K110"/>
      <c r="L110">
        <f>IF(AND(ISNUMBER(J110),ISNUMBER(K110)),MAX(J110-K110,0),"")</f>
      </c>
      <c r="M110"/>
      <c r="N110"/>
    </row>
    <row r="111">
      <c r="A111" t="inlineStr">
        <is>
          <t>04</t>
        </is>
      </c>
      <c r="B111" t="inlineStr">
        <is>
          <t>04 - Deep Learning</t>
        </is>
      </c>
      <c r="C111" t="inlineStr">
        <is>
          <t>TF Data API</t>
        </is>
      </c>
      <c r="D111" t="inlineStr">
        <is>
          <t>notebook</t>
        </is>
      </c>
      <c r="E111" t="inlineStr">
        <is>
          <t>04-deep-learning/03-practicas/modelado-notebooks/fundamentos/TF_data_API.ipynb</t>
        </is>
      </c>
      <c r="F111" t="inlineStr">
        <is>
          <t>Revisar</t>
        </is>
      </c>
      <c r="G111" t="inlineStr">
        <is>
          <t>Pendiente</t>
        </is>
      </c>
      <c r="H111"/>
      <c r="I111"/>
      <c r="J111"/>
      <c r="K111"/>
      <c r="L111">
        <f>IF(AND(ISNUMBER(J111),ISNUMBER(K111)),MAX(J111-K111,0),"")</f>
      </c>
      <c r="M111"/>
      <c r="N111"/>
    </row>
    <row r="112">
      <c r="A112" t="inlineStr">
        <is>
          <t>04</t>
        </is>
      </c>
      <c r="B112" t="inlineStr">
        <is>
          <t>04 - Deep Learning</t>
        </is>
      </c>
      <c r="C112" t="inlineStr">
        <is>
          <t>**Explicación del código en PyTorch (Primer Ejemplo)**</t>
        </is>
      </c>
      <c r="D112" t="inlineStr">
        <is>
          <t>guía/rúbrica</t>
        </is>
      </c>
      <c r="E112" t="inlineStr">
        <is>
          <t>04-deep-learning/03-practicas/modelado-proyectos/boston-housing/docs/BostonHousing-1.md</t>
        </is>
      </c>
      <c r="F112" t="inlineStr">
        <is>
          <t>Revisar</t>
        </is>
      </c>
      <c r="G112" t="inlineStr">
        <is>
          <t>Pendiente</t>
        </is>
      </c>
      <c r="H112"/>
      <c r="I112"/>
      <c r="J112"/>
      <c r="K112"/>
      <c r="L112">
        <f>IF(AND(ISNUMBER(J112),ISNUMBER(K112)),MAX(J112-K112,0),"")</f>
      </c>
      <c r="M112"/>
      <c r="N112"/>
    </row>
    <row r="113">
      <c r="A113" t="inlineStr">
        <is>
          <t>04</t>
        </is>
      </c>
      <c r="B113" t="inlineStr">
        <is>
          <t>04 - Deep Learning</t>
        </is>
      </c>
      <c r="C113" t="inlineStr">
        <is>
          <t>**Explicación del código en PyTorch (Segundo Ejemplo)**</t>
        </is>
      </c>
      <c r="D113" t="inlineStr">
        <is>
          <t>guía/rúbrica</t>
        </is>
      </c>
      <c r="E113" t="inlineStr">
        <is>
          <t>04-deep-learning/03-practicas/modelado-proyectos/boston-housing/docs/BostonHousing-2.md</t>
        </is>
      </c>
      <c r="F113" t="inlineStr">
        <is>
          <t>Revisar</t>
        </is>
      </c>
      <c r="G113" t="inlineStr">
        <is>
          <t>Pendiente</t>
        </is>
      </c>
      <c r="H113"/>
      <c r="I113"/>
      <c r="J113"/>
      <c r="K113"/>
      <c r="L113">
        <f>IF(AND(ISNUMBER(J113),ISNUMBER(K113)),MAX(J113-K113,0),"")</f>
      </c>
      <c r="M113"/>
      <c r="N113"/>
    </row>
    <row r="114">
      <c r="A114" t="inlineStr">
        <is>
          <t>04</t>
        </is>
      </c>
      <c r="B114" t="inlineStr">
        <is>
          <t>04 - Deep Learning</t>
        </is>
      </c>
      <c r="C114" t="inlineStr">
        <is>
          <t>bostonHousesPrice Keras</t>
        </is>
      </c>
      <c r="D114" t="inlineStr">
        <is>
          <t>script</t>
        </is>
      </c>
      <c r="E114" t="inlineStr">
        <is>
          <t>04-deep-learning/03-practicas/modelado-proyectos/boston-housing/scripts/bostonHousesPrice_Keras.py</t>
        </is>
      </c>
      <c r="F114" t="inlineStr">
        <is>
          <t>Revisar</t>
        </is>
      </c>
      <c r="G114" t="inlineStr">
        <is>
          <t>Pendiente</t>
        </is>
      </c>
      <c r="H114"/>
      <c r="I114"/>
      <c r="J114"/>
      <c r="K114"/>
      <c r="L114">
        <f>IF(AND(ISNUMBER(J114),ISNUMBER(K114)),MAX(J114-K114,0),"")</f>
      </c>
      <c r="M114"/>
      <c r="N114"/>
    </row>
    <row r="115">
      <c r="A115" t="inlineStr">
        <is>
          <t>04</t>
        </is>
      </c>
      <c r="B115" t="inlineStr">
        <is>
          <t>04 - Deep Learning</t>
        </is>
      </c>
      <c r="C115" t="inlineStr">
        <is>
          <t>bostonHousesPrice Pytorch</t>
        </is>
      </c>
      <c r="D115" t="inlineStr">
        <is>
          <t>script</t>
        </is>
      </c>
      <c r="E115" t="inlineStr">
        <is>
          <t>04-deep-learning/03-practicas/modelado-proyectos/boston-housing/scripts/bostonHousesPrice_Pytorch.py</t>
        </is>
      </c>
      <c r="F115" t="inlineStr">
        <is>
          <t>Revisar</t>
        </is>
      </c>
      <c r="G115" t="inlineStr">
        <is>
          <t>Pendiente</t>
        </is>
      </c>
      <c r="H115"/>
      <c r="I115"/>
      <c r="J115"/>
      <c r="K115"/>
      <c r="L115">
        <f>IF(AND(ISNUMBER(J115),ISNUMBER(K115)),MAX(J115-K115,0),"")</f>
      </c>
      <c r="M115"/>
      <c r="N115"/>
    </row>
    <row r="116">
      <c r="A116" t="inlineStr">
        <is>
          <t>04</t>
        </is>
      </c>
      <c r="B116" t="inlineStr">
        <is>
          <t>04 - Deep Learning</t>
        </is>
      </c>
      <c r="C116" t="inlineStr">
        <is>
          <t>bostonHousesPrice SciKeras</t>
        </is>
      </c>
      <c r="D116" t="inlineStr">
        <is>
          <t>script</t>
        </is>
      </c>
      <c r="E116" t="inlineStr">
        <is>
          <t>04-deep-learning/03-practicas/modelado-proyectos/boston-housing/scripts/bostonHousesPrice_SciKeras.py</t>
        </is>
      </c>
      <c r="F116" t="inlineStr">
        <is>
          <t>Revisar</t>
        </is>
      </c>
      <c r="G116" t="inlineStr">
        <is>
          <t>Pendiente</t>
        </is>
      </c>
      <c r="H116"/>
      <c r="I116"/>
      <c r="J116"/>
      <c r="K116"/>
      <c r="L116">
        <f>IF(AND(ISNUMBER(J116),ISNUMBER(K116)),MAX(J116-K116,0),"")</f>
      </c>
      <c r="M116"/>
      <c r="N116"/>
    </row>
    <row r="117">
      <c r="A117" t="inlineStr">
        <is>
          <t>04</t>
        </is>
      </c>
      <c r="B117" t="inlineStr">
        <is>
          <t>04 - Deep Learning</t>
        </is>
      </c>
      <c r="C117" t="inlineStr">
        <is>
          <t>bostonHousesPrice SciPytorch</t>
        </is>
      </c>
      <c r="D117" t="inlineStr">
        <is>
          <t>script</t>
        </is>
      </c>
      <c r="E117" t="inlineStr">
        <is>
          <t>04-deep-learning/03-practicas/modelado-proyectos/boston-housing/scripts/bostonHousesPrice_SciPytorch.py</t>
        </is>
      </c>
      <c r="F117" t="inlineStr">
        <is>
          <t>Revisar</t>
        </is>
      </c>
      <c r="G117" t="inlineStr">
        <is>
          <t>Pendiente</t>
        </is>
      </c>
      <c r="H117"/>
      <c r="I117"/>
      <c r="J117"/>
      <c r="K117"/>
      <c r="L117">
        <f>IF(AND(ISNUMBER(J117),ISNUMBER(K117)),MAX(J117-K117,0),"")</f>
      </c>
      <c r="M117"/>
      <c r="N117"/>
    </row>
    <row r="118">
      <c r="A118" t="inlineStr">
        <is>
          <t>04</t>
        </is>
      </c>
      <c r="B118" t="inlineStr">
        <is>
          <t>04 - Deep Learning</t>
        </is>
      </c>
      <c r="C118" t="inlineStr">
        <is>
          <t>euromPytorch</t>
        </is>
      </c>
      <c r="D118" t="inlineStr">
        <is>
          <t>notebook</t>
        </is>
      </c>
      <c r="E118" t="inlineStr">
        <is>
          <t>04-deep-learning/03-practicas/modelado-proyectos/euromillones/notebooks/euromPytorch.ipynb</t>
        </is>
      </c>
      <c r="F118" t="inlineStr">
        <is>
          <t>Revisar</t>
        </is>
      </c>
      <c r="G118" t="inlineStr">
        <is>
          <t>Pendiente</t>
        </is>
      </c>
      <c r="H118"/>
      <c r="I118"/>
      <c r="J118"/>
      <c r="K118"/>
      <c r="L118">
        <f>IF(AND(ISNUMBER(J118),ISNUMBER(K118)),MAX(J118-K118,0),"")</f>
      </c>
      <c r="M118"/>
      <c r="N118"/>
    </row>
    <row r="119">
      <c r="A119" t="inlineStr">
        <is>
          <t>04</t>
        </is>
      </c>
      <c r="B119" t="inlineStr">
        <is>
          <t>04 - Deep Learning</t>
        </is>
      </c>
      <c r="C119" t="inlineStr">
        <is>
          <t>Euromill Boosting</t>
        </is>
      </c>
      <c r="D119" t="inlineStr">
        <is>
          <t>notebook</t>
        </is>
      </c>
      <c r="E119" t="inlineStr">
        <is>
          <t>04-deep-learning/03-practicas/modelado-proyectos/euromillones/notebooks/euromill-boosting.ipynb</t>
        </is>
      </c>
      <c r="F119" t="inlineStr">
        <is>
          <t>Revisar</t>
        </is>
      </c>
      <c r="G119" t="inlineStr">
        <is>
          <t>Pendiente</t>
        </is>
      </c>
      <c r="H119"/>
      <c r="I119"/>
      <c r="J119"/>
      <c r="K119"/>
      <c r="L119">
        <f>IF(AND(ISNUMBER(J119),ISNUMBER(K119)),MAX(J119-K119,0),"")</f>
      </c>
      <c r="M119"/>
      <c r="N119"/>
    </row>
    <row r="120">
      <c r="A120" t="inlineStr">
        <is>
          <t>04</t>
        </is>
      </c>
      <c r="B120" t="inlineStr">
        <is>
          <t>04 - Deep Learning</t>
        </is>
      </c>
      <c r="C120" t="inlineStr">
        <is>
          <t>Euromill Premio</t>
        </is>
      </c>
      <c r="D120" t="inlineStr">
        <is>
          <t>notebook</t>
        </is>
      </c>
      <c r="E120" t="inlineStr">
        <is>
          <t>04-deep-learning/03-practicas/modelado-proyectos/euromillones/notebooks/euromill-premio.ipynb</t>
        </is>
      </c>
      <c r="F120" t="inlineStr">
        <is>
          <t>Revisar</t>
        </is>
      </c>
      <c r="G120" t="inlineStr">
        <is>
          <t>Pendiente</t>
        </is>
      </c>
      <c r="H120"/>
      <c r="I120"/>
      <c r="J120"/>
      <c r="K120"/>
      <c r="L120">
        <f>IF(AND(ISNUMBER(J120),ISNUMBER(K120)),MAX(J120-K120,0),"")</f>
      </c>
      <c r="M120"/>
      <c r="N120"/>
    </row>
    <row r="121">
      <c r="A121" t="inlineStr">
        <is>
          <t>04</t>
        </is>
      </c>
      <c r="B121" t="inlineStr">
        <is>
          <t>04 - Deep Learning</t>
        </is>
      </c>
      <c r="C121" t="inlineStr">
        <is>
          <t>Euromillions 3</t>
        </is>
      </c>
      <c r="D121" t="inlineStr">
        <is>
          <t>notebook</t>
        </is>
      </c>
      <c r="E121" t="inlineStr">
        <is>
          <t>04-deep-learning/03-practicas/modelado-proyectos/euromillones/notebooks/euromillions-3.ipynb</t>
        </is>
      </c>
      <c r="F121" t="inlineStr">
        <is>
          <t>Revisar</t>
        </is>
      </c>
      <c r="G121" t="inlineStr">
        <is>
          <t>Pendiente</t>
        </is>
      </c>
      <c r="H121"/>
      <c r="I121"/>
      <c r="J121"/>
      <c r="K121"/>
      <c r="L121">
        <f>IF(AND(ISNUMBER(J121),ISNUMBER(K121)),MAX(J121-K121,0),"")</f>
      </c>
      <c r="M121"/>
      <c r="N121"/>
    </row>
    <row r="122">
      <c r="A122" t="inlineStr">
        <is>
          <t>04</t>
        </is>
      </c>
      <c r="B122" t="inlineStr">
        <is>
          <t>04 - Deep Learning</t>
        </is>
      </c>
      <c r="C122" t="inlineStr">
        <is>
          <t>LSTM Euromillions</t>
        </is>
      </c>
      <c r="D122" t="inlineStr">
        <is>
          <t>script</t>
        </is>
      </c>
      <c r="E122" t="inlineStr">
        <is>
          <t>04-deep-learning/03-practicas/modelado-proyectos/euromillones/scripts/LSTM-euromillions.py</t>
        </is>
      </c>
      <c r="F122" t="inlineStr">
        <is>
          <t>Revisar</t>
        </is>
      </c>
      <c r="G122" t="inlineStr">
        <is>
          <t>Pendiente</t>
        </is>
      </c>
      <c r="H122"/>
      <c r="I122"/>
      <c r="J122"/>
      <c r="K122"/>
      <c r="L122">
        <f>IF(AND(ISNUMBER(J122),ISNUMBER(K122)),MAX(J122-K122,0),"")</f>
      </c>
      <c r="M122"/>
      <c r="N122"/>
    </row>
    <row r="123">
      <c r="A123" t="inlineStr">
        <is>
          <t>04</t>
        </is>
      </c>
      <c r="B123" t="inlineStr">
        <is>
          <t>04 - Deep Learning</t>
        </is>
      </c>
      <c r="C123" t="inlineStr">
        <is>
          <t>LSTM PytorchMultiVariate</t>
        </is>
      </c>
      <c r="D123" t="inlineStr">
        <is>
          <t>script</t>
        </is>
      </c>
      <c r="E123" t="inlineStr">
        <is>
          <t>04-deep-learning/03-practicas/modelado-proyectos/euromillones/scripts/LSTM_PytorchMultiVariate.py</t>
        </is>
      </c>
      <c r="F123" t="inlineStr">
        <is>
          <t>Revisar</t>
        </is>
      </c>
      <c r="G123" t="inlineStr">
        <is>
          <t>Pendiente</t>
        </is>
      </c>
      <c r="H123"/>
      <c r="I123"/>
      <c r="J123"/>
      <c r="K123"/>
      <c r="L123">
        <f>IF(AND(ISNUMBER(J123),ISNUMBER(K123)),MAX(J123-K123,0),"")</f>
      </c>
      <c r="M123"/>
      <c r="N123"/>
    </row>
    <row r="124">
      <c r="A124" t="inlineStr">
        <is>
          <t>04</t>
        </is>
      </c>
      <c r="B124" t="inlineStr">
        <is>
          <t>04 - Deep Learning</t>
        </is>
      </c>
      <c r="C124" t="inlineStr">
        <is>
          <t>LSTM PytorchUniVariate</t>
        </is>
      </c>
      <c r="D124" t="inlineStr">
        <is>
          <t>script</t>
        </is>
      </c>
      <c r="E124" t="inlineStr">
        <is>
          <t>04-deep-learning/03-practicas/modelado-proyectos/euromillones/scripts/LSTM_PytorchUniVariate.py</t>
        </is>
      </c>
      <c r="F124" t="inlineStr">
        <is>
          <t>Revisar</t>
        </is>
      </c>
      <c r="G124" t="inlineStr">
        <is>
          <t>Pendiente</t>
        </is>
      </c>
      <c r="H124"/>
      <c r="I124"/>
      <c r="J124"/>
      <c r="K124"/>
      <c r="L124">
        <f>IF(AND(ISNUMBER(J124),ISNUMBER(K124)),MAX(J124-K124,0),"")</f>
      </c>
      <c r="M124"/>
      <c r="N124"/>
    </row>
    <row r="125">
      <c r="A125" t="inlineStr">
        <is>
          <t>04</t>
        </is>
      </c>
      <c r="B125" t="inlineStr">
        <is>
          <t>04 - Deep Learning</t>
        </is>
      </c>
      <c r="C125" t="inlineStr">
        <is>
          <t>Keras Notebook2</t>
        </is>
      </c>
      <c r="D125" t="inlineStr">
        <is>
          <t>notebook</t>
        </is>
      </c>
      <c r="E125" t="inlineStr">
        <is>
          <t>04-deep-learning/03-practicas/modelado-proyectos/used-cars-dl-tabular/notebooks/keras_notebook2.ipynb</t>
        </is>
      </c>
      <c r="F125" t="inlineStr">
        <is>
          <t>Revisar</t>
        </is>
      </c>
      <c r="G125" t="inlineStr">
        <is>
          <t>Pendiente</t>
        </is>
      </c>
      <c r="H125"/>
      <c r="I125"/>
      <c r="J125"/>
      <c r="K125"/>
      <c r="L125">
        <f>IF(AND(ISNUMBER(J125),ISNUMBER(K125)),MAX(J125-K125,0),"")</f>
      </c>
      <c r="M125"/>
      <c r="N125"/>
    </row>
    <row r="126">
      <c r="A126" t="inlineStr">
        <is>
          <t>04</t>
        </is>
      </c>
      <c r="B126" t="inlineStr">
        <is>
          <t>04 - Deep Learning</t>
        </is>
      </c>
      <c r="C126" t="inlineStr">
        <is>
          <t>Pytorch Notebook</t>
        </is>
      </c>
      <c r="D126" t="inlineStr">
        <is>
          <t>notebook</t>
        </is>
      </c>
      <c r="E126" t="inlineStr">
        <is>
          <t>04-deep-learning/03-practicas/modelado-proyectos/used-cars-dl-tabular/notebooks/pytorch_notebook.ipynb</t>
        </is>
      </c>
      <c r="F126" t="inlineStr">
        <is>
          <t>Revisar</t>
        </is>
      </c>
      <c r="G126" t="inlineStr">
        <is>
          <t>Pendiente</t>
        </is>
      </c>
      <c r="H126"/>
      <c r="I126"/>
      <c r="J126"/>
      <c r="K126"/>
      <c r="L126">
        <f>IF(AND(ISNUMBER(J126),ISNUMBER(K126)),MAX(J126-K126,0),"")</f>
      </c>
      <c r="M126"/>
      <c r="N126"/>
    </row>
    <row r="127">
      <c r="A127" t="inlineStr">
        <is>
          <t>04</t>
        </is>
      </c>
      <c r="B127" t="inlineStr">
        <is>
          <t>04 - Deep Learning</t>
        </is>
      </c>
      <c r="C127" t="inlineStr">
        <is>
          <t>Tf Keras Notebook</t>
        </is>
      </c>
      <c r="D127" t="inlineStr">
        <is>
          <t>notebook</t>
        </is>
      </c>
      <c r="E127" t="inlineStr">
        <is>
          <t>04-deep-learning/03-practicas/modelado-proyectos/used-cars-dl-tabular/notebooks/tf_keras_notebook.ipynb</t>
        </is>
      </c>
      <c r="F127" t="inlineStr">
        <is>
          <t>Revisar</t>
        </is>
      </c>
      <c r="G127" t="inlineStr">
        <is>
          <t>Pendiente</t>
        </is>
      </c>
      <c r="H127"/>
      <c r="I127"/>
      <c r="J127"/>
      <c r="K127"/>
      <c r="L127">
        <f>IF(AND(ISNUMBER(J127),ISNUMBER(K127)),MAX(J127-K127,0),"")</f>
      </c>
      <c r="M127"/>
      <c r="N127"/>
    </row>
    <row r="128">
      <c r="A128" t="inlineStr">
        <is>
          <t>04</t>
        </is>
      </c>
      <c r="B128" t="inlineStr">
        <is>
          <t>04 - Deep Learning</t>
        </is>
      </c>
      <c r="C128" t="inlineStr">
        <is>
          <t>Evaluación — UD4 Deep Learning</t>
        </is>
      </c>
      <c r="D128" t="inlineStr">
        <is>
          <t>guía/rúbrica</t>
        </is>
      </c>
      <c r="E128" t="inlineStr">
        <is>
          <t>04-deep-learning/04-evaluacion/README.md</t>
        </is>
      </c>
      <c r="F128" t="inlineStr">
        <is>
          <t>Sí</t>
        </is>
      </c>
      <c r="G128" t="inlineStr">
        <is>
          <t>Pendiente</t>
        </is>
      </c>
      <c r="H128"/>
      <c r="I128"/>
      <c r="J128"/>
      <c r="K128"/>
      <c r="L128">
        <f>IF(AND(ISNUMBER(J128),ISNUMBER(K128)),MAX(J128-K128,0),"")</f>
      </c>
      <c r="M128"/>
      <c r="N128"/>
    </row>
    <row r="129">
      <c r="A129" t="inlineStr">
        <is>
          <t>04</t>
        </is>
      </c>
      <c r="B129" t="inlineStr">
        <is>
          <t>04 - Deep Learning</t>
        </is>
      </c>
      <c r="C129" t="inlineStr">
        <is>
          <t>Checklist de entrega — UD4 Deep Learning</t>
        </is>
      </c>
      <c r="D129" t="inlineStr">
        <is>
          <t>guía/rúbrica</t>
        </is>
      </c>
      <c r="E129" t="inlineStr">
        <is>
          <t>04-deep-learning/04-evaluacion/checklist-entrega.md</t>
        </is>
      </c>
      <c r="F129" t="inlineStr">
        <is>
          <t>Sí</t>
        </is>
      </c>
      <c r="G129" t="inlineStr">
        <is>
          <t>Pendiente</t>
        </is>
      </c>
      <c r="H129"/>
      <c r="I129"/>
      <c r="J129"/>
      <c r="K129"/>
      <c r="L129">
        <f>IF(AND(ISNUMBER(J129),ISNUMBER(K129)),MAX(J129-K129,0),"")</f>
      </c>
      <c r="M129"/>
      <c r="N129"/>
    </row>
    <row r="130">
      <c r="A130" t="inlineStr">
        <is>
          <t>04</t>
        </is>
      </c>
      <c r="B130" t="inlineStr">
        <is>
          <t>04 - Deep Learning</t>
        </is>
      </c>
      <c r="C130" t="inlineStr">
        <is>
          <t>Cuestionario Deep Learning</t>
        </is>
      </c>
      <c r="D130" t="inlineStr">
        <is>
          <t>cuestionario</t>
        </is>
      </c>
      <c r="E130" t="inlineStr">
        <is>
          <t>04-deep-learning/04-evaluacion/cuestionario-deep-learning.gift</t>
        </is>
      </c>
      <c r="F130" t="inlineStr">
        <is>
          <t>Sí</t>
        </is>
      </c>
      <c r="G130" t="inlineStr">
        <is>
          <t>Pendiente</t>
        </is>
      </c>
      <c r="H130"/>
      <c r="I130"/>
      <c r="J130"/>
      <c r="K130"/>
      <c r="L130">
        <f>IF(AND(ISNUMBER(J130),ISNUMBER(K130)),MAX(J130-K130,0),"")</f>
      </c>
      <c r="M130"/>
      <c r="N130"/>
    </row>
    <row r="131">
      <c r="A131" t="inlineStr">
        <is>
          <t>04</t>
        </is>
      </c>
      <c r="B131" t="inlineStr">
        <is>
          <t>04 - Deep Learning</t>
        </is>
      </c>
      <c r="C131" t="inlineStr">
        <is>
          <t>Rúbrica consolidada — UD4 Deep Learning</t>
        </is>
      </c>
      <c r="D131" t="inlineStr">
        <is>
          <t>guía/rúbrica</t>
        </is>
      </c>
      <c r="E131" t="inlineStr">
        <is>
          <t>04-deep-learning/04-evaluacion/rubrica.md</t>
        </is>
      </c>
      <c r="F131" t="inlineStr">
        <is>
          <t>Sí</t>
        </is>
      </c>
      <c r="G131" t="inlineStr">
        <is>
          <t>Pendiente</t>
        </is>
      </c>
      <c r="H131"/>
      <c r="I131"/>
      <c r="J131"/>
      <c r="K131"/>
      <c r="L131">
        <f>IF(AND(ISNUMBER(J131),ISNUMBER(K131)),MAX(J131-K131,0),"")</f>
      </c>
      <c r="M131"/>
      <c r="N131"/>
    </row>
    <row r="132">
      <c r="A132" t="inlineStr">
        <is>
          <t>05</t>
        </is>
      </c>
      <c r="B132" t="inlineStr">
        <is>
          <t>05-cloud-mlops</t>
        </is>
      </c>
      <c r="C132" t="inlineStr">
        <is>
          <t>esqueletoAWS</t>
        </is>
      </c>
      <c r="D132" t="inlineStr">
        <is>
          <t>script</t>
        </is>
      </c>
      <c r="E132" t="inlineStr">
        <is>
          <t>05-cloud-mlops/03-practicas/esqueletoAWS.py</t>
        </is>
      </c>
      <c r="F132" t="inlineStr">
        <is>
          <t>Revisar</t>
        </is>
      </c>
      <c r="G132" t="inlineStr">
        <is>
          <t>Pendiente</t>
        </is>
      </c>
      <c r="H132"/>
      <c r="I132"/>
      <c r="J132"/>
      <c r="K132"/>
      <c r="L132">
        <f>IF(AND(ISNUMBER(J132),ISNUMBER(K132)),MAX(J132-K132,0),"")</f>
      </c>
      <c r="M132"/>
      <c r="N132"/>
    </row>
    <row r="133">
      <c r="A133" t="inlineStr">
        <is>
          <t>05</t>
        </is>
      </c>
      <c r="B133" t="inlineStr">
        <is>
          <t>05-cloud-mlops</t>
        </is>
      </c>
      <c r="C133" t="inlineStr">
        <is>
          <t>Rúbrica de evaluación: comparativa de herramientas cloud para IA</t>
        </is>
      </c>
      <c r="D133" t="inlineStr">
        <is>
          <t>guía/rúbrica</t>
        </is>
      </c>
      <c r="E133" t="inlineStr">
        <is>
          <t>05-cloud-mlops/03-practicas/rubrica-tarea.md</t>
        </is>
      </c>
      <c r="F133" t="inlineStr">
        <is>
          <t>Revisar</t>
        </is>
      </c>
      <c r="G133" t="inlineStr">
        <is>
          <t>Pendiente</t>
        </is>
      </c>
      <c r="H133"/>
      <c r="I133"/>
      <c r="J133"/>
      <c r="K133"/>
      <c r="L133">
        <f>IF(AND(ISNUMBER(J133),ISNUMBER(K133)),MAX(J133-K133,0),"")</f>
      </c>
      <c r="M133"/>
      <c r="N133"/>
    </row>
    <row r="134">
      <c r="A134" t="inlineStr">
        <is>
          <t>05</t>
        </is>
      </c>
      <c r="B134" t="inlineStr">
        <is>
          <t>05-cloud-mlops</t>
        </is>
      </c>
      <c r="C134" t="inlineStr">
        <is>
          <t>Tarea: Comparativa de Herramientas Cloud para IA</t>
        </is>
      </c>
      <c r="D134" t="inlineStr">
        <is>
          <t>guía/rúbrica</t>
        </is>
      </c>
      <c r="E134" t="inlineStr">
        <is>
          <t>05-cloud-mlops/03-practicas/tarea-comparativa-herramientas.md</t>
        </is>
      </c>
      <c r="F134" t="inlineStr">
        <is>
          <t>Revisar</t>
        </is>
      </c>
      <c r="G134" t="inlineStr">
        <is>
          <t>Pendiente</t>
        </is>
      </c>
      <c r="H134"/>
      <c r="I134"/>
      <c r="J134"/>
      <c r="K134"/>
      <c r="L134">
        <f>IF(AND(ISNUMBER(J134),ISNUMBER(K134)),MAX(J134-K134,0),"")</f>
      </c>
      <c r="M134"/>
      <c r="N134"/>
    </row>
    <row r="135">
      <c r="A135" t="inlineStr">
        <is>
          <t>05</t>
        </is>
      </c>
      <c r="B135" t="inlineStr">
        <is>
          <t>05-cloud-mlops</t>
        </is>
      </c>
      <c r="C135" t="inlineStr">
        <is>
          <t>Evaluación — UD5 Cloud y MLOps</t>
        </is>
      </c>
      <c r="D135" t="inlineStr">
        <is>
          <t>guía/rúbrica</t>
        </is>
      </c>
      <c r="E135" t="inlineStr">
        <is>
          <t>05-cloud-mlops/04-evaluacion/README.md</t>
        </is>
      </c>
      <c r="F135" t="inlineStr">
        <is>
          <t>Sí</t>
        </is>
      </c>
      <c r="G135" t="inlineStr">
        <is>
          <t>Pendiente</t>
        </is>
      </c>
      <c r="H135"/>
      <c r="I135"/>
      <c r="J135"/>
      <c r="K135"/>
      <c r="L135">
        <f>IF(AND(ISNUMBER(J135),ISNUMBER(K135)),MAX(J135-K135,0),"")</f>
      </c>
      <c r="M135"/>
      <c r="N135"/>
    </row>
    <row r="136">
      <c r="A136" t="inlineStr">
        <is>
          <t>05</t>
        </is>
      </c>
      <c r="B136" t="inlineStr">
        <is>
          <t>05-cloud-mlops</t>
        </is>
      </c>
      <c r="C136" t="inlineStr">
        <is>
          <t>Checklist de entrega — UD5 Cloud y MLOps</t>
        </is>
      </c>
      <c r="D136" t="inlineStr">
        <is>
          <t>guía/rúbrica</t>
        </is>
      </c>
      <c r="E136" t="inlineStr">
        <is>
          <t>05-cloud-mlops/04-evaluacion/checklist-entrega.md</t>
        </is>
      </c>
      <c r="F136" t="inlineStr">
        <is>
          <t>Sí</t>
        </is>
      </c>
      <c r="G136" t="inlineStr">
        <is>
          <t>Pendiente</t>
        </is>
      </c>
      <c r="H136"/>
      <c r="I136"/>
      <c r="J136"/>
      <c r="K136"/>
      <c r="L136">
        <f>IF(AND(ISNUMBER(J136),ISNUMBER(K136)),MAX(J136-K136,0),"")</f>
      </c>
      <c r="M136"/>
      <c r="N136"/>
    </row>
    <row r="137">
      <c r="A137" t="inlineStr">
        <is>
          <t>05</t>
        </is>
      </c>
      <c r="B137" t="inlineStr">
        <is>
          <t>05-cloud-mlops</t>
        </is>
      </c>
      <c r="C137" t="inlineStr">
        <is>
          <t>Cuestionario 1 Infraestructura Datos</t>
        </is>
      </c>
      <c r="D137" t="inlineStr">
        <is>
          <t>cuestionario</t>
        </is>
      </c>
      <c r="E137" t="inlineStr">
        <is>
          <t>05-cloud-mlops/04-evaluacion/cuestionario_1_infraestructura_datos.gift</t>
        </is>
      </c>
      <c r="F137" t="inlineStr">
        <is>
          <t>Sí</t>
        </is>
      </c>
      <c r="G137" t="inlineStr">
        <is>
          <t>Pendiente</t>
        </is>
      </c>
      <c r="H137"/>
      <c r="I137"/>
      <c r="J137"/>
      <c r="K137"/>
      <c r="L137">
        <f>IF(AND(ISNUMBER(J137),ISNUMBER(K137)),MAX(J137-K137,0),"")</f>
      </c>
      <c r="M137"/>
      <c r="N137"/>
    </row>
    <row r="138">
      <c r="A138" t="inlineStr">
        <is>
          <t>05</t>
        </is>
      </c>
      <c r="B138" t="inlineStr">
        <is>
          <t>05-cloud-mlops</t>
        </is>
      </c>
      <c r="C138" t="inlineStr">
        <is>
          <t>Cuestionario 2 Ia Generativa Rag</t>
        </is>
      </c>
      <c r="D138" t="inlineStr">
        <is>
          <t>cuestionario</t>
        </is>
      </c>
      <c r="E138" t="inlineStr">
        <is>
          <t>05-cloud-mlops/04-evaluacion/cuestionario_2_ia_generativa_rag.gift</t>
        </is>
      </c>
      <c r="F138" t="inlineStr">
        <is>
          <t>Sí</t>
        </is>
      </c>
      <c r="G138" t="inlineStr">
        <is>
          <t>Pendiente</t>
        </is>
      </c>
      <c r="H138"/>
      <c r="I138"/>
      <c r="J138"/>
      <c r="K138"/>
      <c r="L138">
        <f>IF(AND(ISNUMBER(J138),ISNUMBER(K138)),MAX(J138-K138,0),"")</f>
      </c>
      <c r="M138"/>
      <c r="N138"/>
    </row>
    <row r="139">
      <c r="A139" t="inlineStr">
        <is>
          <t>06</t>
        </is>
      </c>
      <c r="B139" t="inlineStr">
        <is>
          <t>06-llm-agentes</t>
        </is>
      </c>
      <c r="C139" t="inlineStr">
        <is>
          <t>Mlflow Llamaindex Rag</t>
        </is>
      </c>
      <c r="D139" t="inlineStr">
        <is>
          <t>notebook</t>
        </is>
      </c>
      <c r="E139" t="inlineStr">
        <is>
          <t>06-llm-agentes/03-practicas/100_mlflow_llamaindex_rag.ipynb</t>
        </is>
      </c>
      <c r="F139" t="inlineStr">
        <is>
          <t>Revisar</t>
        </is>
      </c>
      <c r="G139" t="inlineStr">
        <is>
          <t>Pendiente</t>
        </is>
      </c>
      <c r="H139"/>
      <c r="I139"/>
      <c r="J139"/>
      <c r="K139"/>
      <c r="L139">
        <f>IF(AND(ISNUMBER(J139),ISNUMBER(K139)),MAX(J139-K139,0),"")</f>
      </c>
      <c r="M139"/>
      <c r="N139"/>
    </row>
    <row r="140">
      <c r="A140" t="inlineStr">
        <is>
          <t>06</t>
        </is>
      </c>
      <c r="B140" t="inlineStr">
        <is>
          <t>06-llm-agentes</t>
        </is>
      </c>
      <c r="C140" t="inlineStr">
        <is>
          <t>Langgraph Orquestacion</t>
        </is>
      </c>
      <c r="D140" t="inlineStr">
        <is>
          <t>notebook</t>
        </is>
      </c>
      <c r="E140" t="inlineStr">
        <is>
          <t>06-llm-agentes/03-practicas/101_langgraph_orquestacion.ipynb</t>
        </is>
      </c>
      <c r="F140" t="inlineStr">
        <is>
          <t>Revisar</t>
        </is>
      </c>
      <c r="G140" t="inlineStr">
        <is>
          <t>Pendiente</t>
        </is>
      </c>
      <c r="H140"/>
      <c r="I140"/>
      <c r="J140"/>
      <c r="K140"/>
      <c r="L140">
        <f>IF(AND(ISNUMBER(J140),ISNUMBER(K140)),MAX(J140-K140,0),"")</f>
      </c>
      <c r="M140"/>
      <c r="N140"/>
    </row>
    <row r="141">
      <c r="A141" t="inlineStr">
        <is>
          <t>06</t>
        </is>
      </c>
      <c r="B141" t="inlineStr">
        <is>
          <t>06-llm-agentes</t>
        </is>
      </c>
      <c r="C141" t="inlineStr">
        <is>
          <t>Ollama Modelos Locales</t>
        </is>
      </c>
      <c r="D141" t="inlineStr">
        <is>
          <t>notebook</t>
        </is>
      </c>
      <c r="E141" t="inlineStr">
        <is>
          <t>06-llm-agentes/03-practicas/102_ollama_modelos_locales.ipynb</t>
        </is>
      </c>
      <c r="F141" t="inlineStr">
        <is>
          <t>Revisar</t>
        </is>
      </c>
      <c r="G141" t="inlineStr">
        <is>
          <t>Pendiente</t>
        </is>
      </c>
      <c r="H141"/>
      <c r="I141"/>
      <c r="J141"/>
      <c r="K141"/>
      <c r="L141">
        <f>IF(AND(ISNUMBER(J141),ISNUMBER(K141)),MAX(J141-K141,0),"")</f>
      </c>
      <c r="M141"/>
      <c r="N141"/>
    </row>
    <row r="142">
      <c r="A142" t="inlineStr">
        <is>
          <t>06</t>
        </is>
      </c>
      <c r="B142" t="inlineStr">
        <is>
          <t>06-llm-agentes</t>
        </is>
      </c>
      <c r="C142" t="inlineStr">
        <is>
          <t>Fastapi Serving Modelos</t>
        </is>
      </c>
      <c r="D142" t="inlineStr">
        <is>
          <t>notebook</t>
        </is>
      </c>
      <c r="E142" t="inlineStr">
        <is>
          <t>06-llm-agentes/03-practicas/103_fastapi_serving_modelos.ipynb</t>
        </is>
      </c>
      <c r="F142" t="inlineStr">
        <is>
          <t>Revisar</t>
        </is>
      </c>
      <c r="G142" t="inlineStr">
        <is>
          <t>Pendiente</t>
        </is>
      </c>
      <c r="H142"/>
      <c r="I142"/>
      <c r="J142"/>
      <c r="K142"/>
      <c r="L142">
        <f>IF(AND(ISNUMBER(J142),ISNUMBER(K142)),MAX(J142-K142,0),"")</f>
      </c>
      <c r="M142"/>
      <c r="N142"/>
    </row>
    <row r="143">
      <c r="A143" t="inlineStr">
        <is>
          <t>06</t>
        </is>
      </c>
      <c r="B143" t="inlineStr">
        <is>
          <t>06-llm-agentes</t>
        </is>
      </c>
      <c r="C143" t="inlineStr">
        <is>
          <t>Gradio Model</t>
        </is>
      </c>
      <c r="D143" t="inlineStr">
        <is>
          <t>notebook</t>
        </is>
      </c>
      <c r="E143" t="inlineStr">
        <is>
          <t>06-llm-agentes/03-practicas/96_gradio_model.ipynb</t>
        </is>
      </c>
      <c r="F143" t="inlineStr">
        <is>
          <t>Revisar</t>
        </is>
      </c>
      <c r="G143" t="inlineStr">
        <is>
          <t>Pendiente</t>
        </is>
      </c>
      <c r="H143"/>
      <c r="I143"/>
      <c r="J143"/>
      <c r="K143"/>
      <c r="L143">
        <f>IF(AND(ISNUMBER(J143),ISNUMBER(K143)),MAX(J143-K143,0),"")</f>
      </c>
      <c r="M143"/>
      <c r="N143"/>
    </row>
    <row r="144">
      <c r="A144" t="inlineStr">
        <is>
          <t>06</t>
        </is>
      </c>
      <c r="B144" t="inlineStr">
        <is>
          <t>06-llm-agentes</t>
        </is>
      </c>
      <c r="C144" t="inlineStr">
        <is>
          <t>Gradio Model SOLUCIONES</t>
        </is>
      </c>
      <c r="D144" t="inlineStr">
        <is>
          <t>notebook</t>
        </is>
      </c>
      <c r="E144" t="inlineStr">
        <is>
          <t>06-llm-agentes/03-practicas/96_gradio_model_SOLUCIONES.ipynb</t>
        </is>
      </c>
      <c r="F144" t="inlineStr">
        <is>
          <t>Revisar</t>
        </is>
      </c>
      <c r="G144" t="inlineStr">
        <is>
          <t>Pendiente</t>
        </is>
      </c>
      <c r="H144"/>
      <c r="I144"/>
      <c r="J144"/>
      <c r="K144"/>
      <c r="L144">
        <f>IF(AND(ISNUMBER(J144),ISNUMBER(K144)),MAX(J144-K144,0),"")</f>
      </c>
      <c r="M144"/>
      <c r="N144"/>
    </row>
    <row r="145">
      <c r="A145" t="inlineStr">
        <is>
          <t>06</t>
        </is>
      </c>
      <c r="B145" t="inlineStr">
        <is>
          <t>06-llm-agentes</t>
        </is>
      </c>
      <c r="C145" t="inlineStr">
        <is>
          <t>Gradio Model SOLUCIONES TESTS</t>
        </is>
      </c>
      <c r="D145" t="inlineStr">
        <is>
          <t>notebook</t>
        </is>
      </c>
      <c r="E145" t="inlineStr">
        <is>
          <t>06-llm-agentes/03-practicas/96_gradio_model_SOLUCIONES_TESTS.ipynb</t>
        </is>
      </c>
      <c r="F145" t="inlineStr">
        <is>
          <t>Revisar</t>
        </is>
      </c>
      <c r="G145" t="inlineStr">
        <is>
          <t>Pendiente</t>
        </is>
      </c>
      <c r="H145"/>
      <c r="I145"/>
      <c r="J145"/>
      <c r="K145"/>
      <c r="L145">
        <f>IF(AND(ISNUMBER(J145),ISNUMBER(K145)),MAX(J145-K145,0),"")</f>
      </c>
      <c r="M145"/>
      <c r="N145"/>
    </row>
    <row r="146">
      <c r="A146" t="inlineStr">
        <is>
          <t>06</t>
        </is>
      </c>
      <c r="B146" t="inlineStr">
        <is>
          <t>06-llm-agentes</t>
        </is>
      </c>
      <c r="C146" t="inlineStr">
        <is>
          <t>Langchain Pipeline</t>
        </is>
      </c>
      <c r="D146" t="inlineStr">
        <is>
          <t>notebook</t>
        </is>
      </c>
      <c r="E146" t="inlineStr">
        <is>
          <t>06-llm-agentes/03-practicas/97_langchain_pipeline.ipynb</t>
        </is>
      </c>
      <c r="F146" t="inlineStr">
        <is>
          <t>Revisar</t>
        </is>
      </c>
      <c r="G146" t="inlineStr">
        <is>
          <t>Pendiente</t>
        </is>
      </c>
      <c r="H146"/>
      <c r="I146"/>
      <c r="J146"/>
      <c r="K146"/>
      <c r="L146">
        <f>IF(AND(ISNUMBER(J146),ISNUMBER(K146)),MAX(J146-K146,0),"")</f>
      </c>
      <c r="M146"/>
      <c r="N146"/>
    </row>
    <row r="147">
      <c r="A147" t="inlineStr">
        <is>
          <t>06</t>
        </is>
      </c>
      <c r="B147" t="inlineStr">
        <is>
          <t>06-llm-agentes</t>
        </is>
      </c>
      <c r="C147" t="inlineStr">
        <is>
          <t>Langchain Pipeline SOLUCIONES</t>
        </is>
      </c>
      <c r="D147" t="inlineStr">
        <is>
          <t>notebook</t>
        </is>
      </c>
      <c r="E147" t="inlineStr">
        <is>
          <t>06-llm-agentes/03-practicas/97_langchain_pipeline_SOLUCIONES.ipynb</t>
        </is>
      </c>
      <c r="F147" t="inlineStr">
        <is>
          <t>Revisar</t>
        </is>
      </c>
      <c r="G147" t="inlineStr">
        <is>
          <t>Pendiente</t>
        </is>
      </c>
      <c r="H147"/>
      <c r="I147"/>
      <c r="J147"/>
      <c r="K147"/>
      <c r="L147">
        <f>IF(AND(ISNUMBER(J147),ISNUMBER(K147)),MAX(J147-K147,0),"")</f>
      </c>
      <c r="M147"/>
      <c r="N147"/>
    </row>
    <row r="148">
      <c r="A148" t="inlineStr">
        <is>
          <t>06</t>
        </is>
      </c>
      <c r="B148" t="inlineStr">
        <is>
          <t>06-llm-agentes</t>
        </is>
      </c>
      <c r="C148" t="inlineStr">
        <is>
          <t>Langchain Pipeline SOLUCIONES TESTS</t>
        </is>
      </c>
      <c r="D148" t="inlineStr">
        <is>
          <t>notebook</t>
        </is>
      </c>
      <c r="E148" t="inlineStr">
        <is>
          <t>06-llm-agentes/03-practicas/97_langchain_pipeline_SOLUCIONES_TESTS.ipynb</t>
        </is>
      </c>
      <c r="F148" t="inlineStr">
        <is>
          <t>Revisar</t>
        </is>
      </c>
      <c r="G148" t="inlineStr">
        <is>
          <t>Pendiente</t>
        </is>
      </c>
      <c r="H148"/>
      <c r="I148"/>
      <c r="J148"/>
      <c r="K148"/>
      <c r="L148">
        <f>IF(AND(ISNUMBER(J148),ISNUMBER(K148)),MAX(J148-K148,0),"")</f>
      </c>
      <c r="M148"/>
      <c r="N148"/>
    </row>
    <row r="149">
      <c r="A149" t="inlineStr">
        <is>
          <t>06</t>
        </is>
      </c>
      <c r="B149" t="inlineStr">
        <is>
          <t>06-llm-agentes</t>
        </is>
      </c>
      <c r="C149" t="inlineStr">
        <is>
          <t>Dspy Mcp</t>
        </is>
      </c>
      <c r="D149" t="inlineStr">
        <is>
          <t>notebook</t>
        </is>
      </c>
      <c r="E149" t="inlineStr">
        <is>
          <t>06-llm-agentes/03-practicas/98_dspy_mcp.ipynb</t>
        </is>
      </c>
      <c r="F149" t="inlineStr">
        <is>
          <t>Revisar</t>
        </is>
      </c>
      <c r="G149" t="inlineStr">
        <is>
          <t>Pendiente</t>
        </is>
      </c>
      <c r="H149"/>
      <c r="I149"/>
      <c r="J149"/>
      <c r="K149"/>
      <c r="L149">
        <f>IF(AND(ISNUMBER(J149),ISNUMBER(K149)),MAX(J149-K149,0),"")</f>
      </c>
      <c r="M149"/>
      <c r="N149"/>
    </row>
    <row r="150">
      <c r="A150" t="inlineStr">
        <is>
          <t>06</t>
        </is>
      </c>
      <c r="B150" t="inlineStr">
        <is>
          <t>06-llm-agentes</t>
        </is>
      </c>
      <c r="C150" t="inlineStr">
        <is>
          <t>Dspy Mcp SOLUCIONES</t>
        </is>
      </c>
      <c r="D150" t="inlineStr">
        <is>
          <t>notebook</t>
        </is>
      </c>
      <c r="E150" t="inlineStr">
        <is>
          <t>06-llm-agentes/03-practicas/98_dspy_mcp_SOLUCIONES.ipynb</t>
        </is>
      </c>
      <c r="F150" t="inlineStr">
        <is>
          <t>Revisar</t>
        </is>
      </c>
      <c r="G150" t="inlineStr">
        <is>
          <t>Pendiente</t>
        </is>
      </c>
      <c r="H150"/>
      <c r="I150"/>
      <c r="J150"/>
      <c r="K150"/>
      <c r="L150">
        <f>IF(AND(ISNUMBER(J150),ISNUMBER(K150)),MAX(J150-K150,0),"")</f>
      </c>
      <c r="M150"/>
      <c r="N150"/>
    </row>
    <row r="151">
      <c r="A151" t="inlineStr">
        <is>
          <t>06</t>
        </is>
      </c>
      <c r="B151" t="inlineStr">
        <is>
          <t>06-llm-agentes</t>
        </is>
      </c>
      <c r="C151" t="inlineStr">
        <is>
          <t>Dspy Mcp SOLUCIONES TESTS</t>
        </is>
      </c>
      <c r="D151" t="inlineStr">
        <is>
          <t>notebook</t>
        </is>
      </c>
      <c r="E151" t="inlineStr">
        <is>
          <t>06-llm-agentes/03-practicas/98_dspy_mcp_SOLUCIONES_TESTS.ipynb</t>
        </is>
      </c>
      <c r="F151" t="inlineStr">
        <is>
          <t>Revisar</t>
        </is>
      </c>
      <c r="G151" t="inlineStr">
        <is>
          <t>Pendiente</t>
        </is>
      </c>
      <c r="H151"/>
      <c r="I151"/>
      <c r="J151"/>
      <c r="K151"/>
      <c r="L151">
        <f>IF(AND(ISNUMBER(J151),ISNUMBER(K151)),MAX(J151-K151,0),"")</f>
      </c>
      <c r="M151"/>
      <c r="N151"/>
    </row>
    <row r="152">
      <c r="A152" t="inlineStr">
        <is>
          <t>06</t>
        </is>
      </c>
      <c r="B152" t="inlineStr">
        <is>
          <t>06-llm-agentes</t>
        </is>
      </c>
      <c r="C152" t="inlineStr">
        <is>
          <t>Herramientas Ia Integradas</t>
        </is>
      </c>
      <c r="D152" t="inlineStr">
        <is>
          <t>notebook</t>
        </is>
      </c>
      <c r="E152" t="inlineStr">
        <is>
          <t>06-llm-agentes/03-practicas/99_herramientas_ia_integradas.ipynb</t>
        </is>
      </c>
      <c r="F152" t="inlineStr">
        <is>
          <t>Revisar</t>
        </is>
      </c>
      <c r="G152" t="inlineStr">
        <is>
          <t>Pendiente</t>
        </is>
      </c>
      <c r="H152"/>
      <c r="I152"/>
      <c r="J152"/>
      <c r="K152"/>
      <c r="L152">
        <f>IF(AND(ISNUMBER(J152),ISNUMBER(K152)),MAX(J152-K152,0),"")</f>
      </c>
      <c r="M152"/>
      <c r="N152"/>
    </row>
    <row r="153">
      <c r="A153" t="inlineStr">
        <is>
          <t>06</t>
        </is>
      </c>
      <c r="B153" t="inlineStr">
        <is>
          <t>06-llm-agentes</t>
        </is>
      </c>
      <c r="C153" t="inlineStr">
        <is>
          <t>Script de exportación de modelos</t>
        </is>
      </c>
      <c r="D153" t="inlineStr">
        <is>
          <t>guía/rúbrica</t>
        </is>
      </c>
      <c r="E153" t="inlineStr">
        <is>
          <t>06-llm-agentes/03-practicas/nlp-tareas-ud4/USO_EXPORTACION.md</t>
        </is>
      </c>
      <c r="F153" t="inlineStr">
        <is>
          <t>Revisar</t>
        </is>
      </c>
      <c r="G153" t="inlineStr">
        <is>
          <t>Pendiente</t>
        </is>
      </c>
      <c r="H153"/>
      <c r="I153"/>
      <c r="J153"/>
      <c r="K153"/>
      <c r="L153">
        <f>IF(AND(ISNUMBER(J153),ISNUMBER(K153)),MAX(J153-K153,0),"")</f>
      </c>
      <c r="M153"/>
      <c r="N153"/>
    </row>
    <row r="154">
      <c r="A154" t="inlineStr">
        <is>
          <t>06</t>
        </is>
      </c>
      <c r="B154" t="inlineStr">
        <is>
          <t>06-llm-agentes</t>
        </is>
      </c>
      <c r="C154" t="inlineStr">
        <is>
          <t>Export Models</t>
        </is>
      </c>
      <c r="D154" t="inlineStr">
        <is>
          <t>script</t>
        </is>
      </c>
      <c r="E154" t="inlineStr">
        <is>
          <t>06-llm-agentes/03-practicas/nlp-tareas-ud4/export_models.py</t>
        </is>
      </c>
      <c r="F154" t="inlineStr">
        <is>
          <t>Revisar</t>
        </is>
      </c>
      <c r="G154" t="inlineStr">
        <is>
          <t>Pendiente</t>
        </is>
      </c>
      <c r="H154"/>
      <c r="I154"/>
      <c r="J154"/>
      <c r="K154"/>
      <c r="L154">
        <f>IF(AND(ISNUMBER(J154),ISNUMBER(K154)),MAX(J154-K154,0),"")</f>
      </c>
      <c r="M154"/>
      <c r="N154"/>
    </row>
    <row r="155">
      <c r="A155" t="inlineStr">
        <is>
          <t>06</t>
        </is>
      </c>
      <c r="B155" t="inlineStr">
        <is>
          <t>06-llm-agentes</t>
        </is>
      </c>
      <c r="C155" t="inlineStr">
        <is>
          <t>Bloque de serving y orquestación – Lenguajes y herramientas emergentes para IA</t>
        </is>
      </c>
      <c r="D155" t="inlineStr">
        <is>
          <t>guía/rúbrica</t>
        </is>
      </c>
      <c r="E155" t="inlineStr">
        <is>
          <t>06-llm-agentes/03-practicas/serving-orquestacion/00-guia-serving-orquestacion.md</t>
        </is>
      </c>
      <c r="F155" t="inlineStr">
        <is>
          <t>Revisar</t>
        </is>
      </c>
      <c r="G155" t="inlineStr">
        <is>
          <t>Pendiente</t>
        </is>
      </c>
      <c r="H155"/>
      <c r="I155"/>
      <c r="J155"/>
      <c r="K155"/>
      <c r="L155">
        <f>IF(AND(ISNUMBER(J155),ISNUMBER(K155)),MAX(J155-K155,0),"")</f>
      </c>
      <c r="M155"/>
      <c r="N155"/>
    </row>
    <row r="156">
      <c r="A156" t="inlineStr">
        <is>
          <t>06</t>
        </is>
      </c>
      <c r="B156" t="inlineStr">
        <is>
          <t>06-llm-agentes</t>
        </is>
      </c>
      <c r="C156" t="inlineStr">
        <is>
          <t>DSPy: documentación práctica</t>
        </is>
      </c>
      <c r="D156" t="inlineStr">
        <is>
          <t>guía/rúbrica</t>
        </is>
      </c>
      <c r="E156" t="inlineStr">
        <is>
          <t>06-llm-agentes/03-practicas/serving-orquestacion/Documentacion/DSPy_Documentacion.md</t>
        </is>
      </c>
      <c r="F156" t="inlineStr">
        <is>
          <t>Revisar</t>
        </is>
      </c>
      <c r="G156" t="inlineStr">
        <is>
          <t>Pendiente</t>
        </is>
      </c>
      <c r="H156"/>
      <c r="I156"/>
      <c r="J156"/>
      <c r="K156"/>
      <c r="L156">
        <f>IF(AND(ISNUMBER(J156),ISNUMBER(K156)),MAX(J156-K156,0),"")</f>
      </c>
      <c r="M156"/>
      <c r="N156"/>
    </row>
    <row r="157">
      <c r="A157" t="inlineStr">
        <is>
          <t>06</t>
        </is>
      </c>
      <c r="B157" t="inlineStr">
        <is>
          <t>06-llm-agentes</t>
        </is>
      </c>
      <c r="C157" t="inlineStr">
        <is>
          <t>Documentación de notebooks del bloque legado de serving y orquestación</t>
        </is>
      </c>
      <c r="D157" t="inlineStr">
        <is>
          <t>guía/rúbrica</t>
        </is>
      </c>
      <c r="E157" t="inlineStr">
        <is>
          <t>06-llm-agentes/03-practicas/serving-orquestacion/Documentacion/Documentacion_Notebooks.md</t>
        </is>
      </c>
      <c r="F157" t="inlineStr">
        <is>
          <t>Revisar</t>
        </is>
      </c>
      <c r="G157" t="inlineStr">
        <is>
          <t>Pendiente</t>
        </is>
      </c>
      <c r="H157"/>
      <c r="I157"/>
      <c r="J157"/>
      <c r="K157"/>
      <c r="L157">
        <f>IF(AND(ISNUMBER(J157),ISNUMBER(K157)),MAX(J157-K157,0),"")</f>
      </c>
      <c r="M157"/>
      <c r="N157"/>
    </row>
    <row r="158">
      <c r="A158" t="inlineStr">
        <is>
          <t>06</t>
        </is>
      </c>
      <c r="B158" t="inlineStr">
        <is>
          <t>06-llm-agentes</t>
        </is>
      </c>
      <c r="C158" t="inlineStr">
        <is>
          <t>FastAPI: documentación práctica</t>
        </is>
      </c>
      <c r="D158" t="inlineStr">
        <is>
          <t>guía/rúbrica</t>
        </is>
      </c>
      <c r="E158" t="inlineStr">
        <is>
          <t>06-llm-agentes/03-practicas/serving-orquestacion/Documentacion/FastAPI_Documentacion.md</t>
        </is>
      </c>
      <c r="F158" t="inlineStr">
        <is>
          <t>Revisar</t>
        </is>
      </c>
      <c r="G158" t="inlineStr">
        <is>
          <t>Pendiente</t>
        </is>
      </c>
      <c r="H158"/>
      <c r="I158"/>
      <c r="J158"/>
      <c r="K158"/>
      <c r="L158">
        <f>IF(AND(ISNUMBER(J158),ISNUMBER(K158)),MAX(J158-K158,0),"")</f>
      </c>
      <c r="M158"/>
      <c r="N158"/>
    </row>
    <row r="159">
      <c r="A159" t="inlineStr">
        <is>
          <t>06</t>
        </is>
      </c>
      <c r="B159" t="inlineStr">
        <is>
          <t>06-llm-agentes</t>
        </is>
      </c>
      <c r="C159" t="inlineStr">
        <is>
          <t>Gradio: documentación práctica</t>
        </is>
      </c>
      <c r="D159" t="inlineStr">
        <is>
          <t>guía/rúbrica</t>
        </is>
      </c>
      <c r="E159" t="inlineStr">
        <is>
          <t>06-llm-agentes/03-practicas/serving-orquestacion/Documentacion/Gradio_Documentacion.md</t>
        </is>
      </c>
      <c r="F159" t="inlineStr">
        <is>
          <t>Revisar</t>
        </is>
      </c>
      <c r="G159" t="inlineStr">
        <is>
          <t>Pendiente</t>
        </is>
      </c>
      <c r="H159"/>
      <c r="I159"/>
      <c r="J159"/>
      <c r="K159"/>
      <c r="L159">
        <f>IF(AND(ISNUMBER(J159),ISNUMBER(K159)),MAX(J159-K159,0),"")</f>
      </c>
      <c r="M159"/>
      <c r="N159"/>
    </row>
    <row r="160">
      <c r="A160" t="inlineStr">
        <is>
          <t>06</t>
        </is>
      </c>
      <c r="B160" t="inlineStr">
        <is>
          <t>06-llm-agentes</t>
        </is>
      </c>
      <c r="C160" t="inlineStr">
        <is>
          <t>Herramientas útiles para programación de inteligencia artificial</t>
        </is>
      </c>
      <c r="D160" t="inlineStr">
        <is>
          <t>guía/rúbrica</t>
        </is>
      </c>
      <c r="E160" t="inlineStr">
        <is>
          <t>06-llm-agentes/03-practicas/serving-orquestacion/Documentacion/Herramientas_IA_Programacion.md</t>
        </is>
      </c>
      <c r="F160" t="inlineStr">
        <is>
          <t>Revisar</t>
        </is>
      </c>
      <c r="G160" t="inlineStr">
        <is>
          <t>Pendiente</t>
        </is>
      </c>
      <c r="H160"/>
      <c r="I160"/>
      <c r="J160"/>
      <c r="K160"/>
      <c r="L160">
        <f>IF(AND(ISNUMBER(J160),ISNUMBER(K160)),MAX(J160-K160,0),"")</f>
      </c>
      <c r="M160"/>
      <c r="N160"/>
    </row>
    <row r="161">
      <c r="A161" t="inlineStr">
        <is>
          <t>06</t>
        </is>
      </c>
      <c r="B161" t="inlineStr">
        <is>
          <t>06-llm-agentes</t>
        </is>
      </c>
      <c r="C161" t="inlineStr">
        <is>
          <t>LangChain: documentación práctica</t>
        </is>
      </c>
      <c r="D161" t="inlineStr">
        <is>
          <t>guía/rúbrica</t>
        </is>
      </c>
      <c r="E161" t="inlineStr">
        <is>
          <t>06-llm-agentes/03-practicas/serving-orquestacion/Documentacion/LangChain_Documentacion.md</t>
        </is>
      </c>
      <c r="F161" t="inlineStr">
        <is>
          <t>Revisar</t>
        </is>
      </c>
      <c r="G161" t="inlineStr">
        <is>
          <t>Pendiente</t>
        </is>
      </c>
      <c r="H161"/>
      <c r="I161"/>
      <c r="J161"/>
      <c r="K161"/>
      <c r="L161">
        <f>IF(AND(ISNUMBER(J161),ISNUMBER(K161)),MAX(J161-K161,0),"")</f>
      </c>
      <c r="M161"/>
      <c r="N161"/>
    </row>
    <row r="162">
      <c r="A162" t="inlineStr">
        <is>
          <t>06</t>
        </is>
      </c>
      <c r="B162" t="inlineStr">
        <is>
          <t>06-llm-agentes</t>
        </is>
      </c>
      <c r="C162" t="inlineStr">
        <is>
          <t>LangGraph: documentación práctica</t>
        </is>
      </c>
      <c r="D162" t="inlineStr">
        <is>
          <t>guía/rúbrica</t>
        </is>
      </c>
      <c r="E162" t="inlineStr">
        <is>
          <t>06-llm-agentes/03-practicas/serving-orquestacion/Documentacion/LangGraph_Documentacion.md</t>
        </is>
      </c>
      <c r="F162" t="inlineStr">
        <is>
          <t>Revisar</t>
        </is>
      </c>
      <c r="G162" t="inlineStr">
        <is>
          <t>Pendiente</t>
        </is>
      </c>
      <c r="H162"/>
      <c r="I162"/>
      <c r="J162"/>
      <c r="K162"/>
      <c r="L162">
        <f>IF(AND(ISNUMBER(J162),ISNUMBER(K162)),MAX(J162-K162,0),"")</f>
      </c>
      <c r="M162"/>
      <c r="N162"/>
    </row>
    <row r="163">
      <c r="A163" t="inlineStr">
        <is>
          <t>06</t>
        </is>
      </c>
      <c r="B163" t="inlineStr">
        <is>
          <t>06-llm-agentes</t>
        </is>
      </c>
      <c r="C163" t="inlineStr">
        <is>
          <t>LlamaIndex: documentación práctica</t>
        </is>
      </c>
      <c r="D163" t="inlineStr">
        <is>
          <t>guía/rúbrica</t>
        </is>
      </c>
      <c r="E163" t="inlineStr">
        <is>
          <t>06-llm-agentes/03-practicas/serving-orquestacion/Documentacion/LlamaIndex_Documentacion.md</t>
        </is>
      </c>
      <c r="F163" t="inlineStr">
        <is>
          <t>Revisar</t>
        </is>
      </c>
      <c r="G163" t="inlineStr">
        <is>
          <t>Pendiente</t>
        </is>
      </c>
      <c r="H163"/>
      <c r="I163"/>
      <c r="J163"/>
      <c r="K163"/>
      <c r="L163">
        <f>IF(AND(ISNUMBER(J163),ISNUMBER(K163)),MAX(J163-K163,0),"")</f>
      </c>
      <c r="M163"/>
      <c r="N163"/>
    </row>
    <row r="164">
      <c r="A164" t="inlineStr">
        <is>
          <t>06</t>
        </is>
      </c>
      <c r="B164" t="inlineStr">
        <is>
          <t>06-llm-agentes</t>
        </is>
      </c>
      <c r="C164" t="inlineStr">
        <is>
          <t>MLflow: documentación práctica</t>
        </is>
      </c>
      <c r="D164" t="inlineStr">
        <is>
          <t>guía/rúbrica</t>
        </is>
      </c>
      <c r="E164" t="inlineStr">
        <is>
          <t>06-llm-agentes/03-practicas/serving-orquestacion/Documentacion/MLflow_Documentacion.md</t>
        </is>
      </c>
      <c r="F164" t="inlineStr">
        <is>
          <t>Revisar</t>
        </is>
      </c>
      <c r="G164" t="inlineStr">
        <is>
          <t>Pendiente</t>
        </is>
      </c>
      <c r="H164"/>
      <c r="I164"/>
      <c r="J164"/>
      <c r="K164"/>
      <c r="L164">
        <f>IF(AND(ISNUMBER(J164),ISNUMBER(K164)),MAX(J164-K164,0),"")</f>
      </c>
      <c r="M164"/>
      <c r="N164"/>
    </row>
    <row r="165">
      <c r="A165" t="inlineStr">
        <is>
          <t>06</t>
        </is>
      </c>
      <c r="B165" t="inlineStr">
        <is>
          <t>06-llm-agentes</t>
        </is>
      </c>
      <c r="C165" t="inlineStr">
        <is>
          <t>Ollama: documentación práctica</t>
        </is>
      </c>
      <c r="D165" t="inlineStr">
        <is>
          <t>guía/rúbrica</t>
        </is>
      </c>
      <c r="E165" t="inlineStr">
        <is>
          <t>06-llm-agentes/03-practicas/serving-orquestacion/Documentacion/Ollama_Documentacion.md</t>
        </is>
      </c>
      <c r="F165" t="inlineStr">
        <is>
          <t>Revisar</t>
        </is>
      </c>
      <c r="G165" t="inlineStr">
        <is>
          <t>Pendiente</t>
        </is>
      </c>
      <c r="H165"/>
      <c r="I165"/>
      <c r="J165"/>
      <c r="K165"/>
      <c r="L165">
        <f>IF(AND(ISNUMBER(J165),ISNUMBER(K165)),MAX(J165-K165,0),"")</f>
      </c>
      <c r="M165"/>
      <c r="N165"/>
    </row>
    <row r="166">
      <c r="A166" t="inlineStr">
        <is>
          <t>06</t>
        </is>
      </c>
      <c r="B166" t="inlineStr">
        <is>
          <t>06-llm-agentes</t>
        </is>
      </c>
      <c r="C166" t="inlineStr">
        <is>
          <t>Gradio Intro</t>
        </is>
      </c>
      <c r="D166" t="inlineStr">
        <is>
          <t>notebook</t>
        </is>
      </c>
      <c r="E166" t="inlineStr">
        <is>
          <t>06-llm-agentes/03-practicas/serving-orquestacion/Fase1/93_gradio_intro.ipynb</t>
        </is>
      </c>
      <c r="F166" t="inlineStr">
        <is>
          <t>Revisar</t>
        </is>
      </c>
      <c r="G166" t="inlineStr">
        <is>
          <t>Pendiente</t>
        </is>
      </c>
      <c r="H166"/>
      <c r="I166"/>
      <c r="J166"/>
      <c r="K166"/>
      <c r="L166">
        <f>IF(AND(ISNUMBER(J166),ISNUMBER(K166)),MAX(J166-K166,0),"")</f>
      </c>
      <c r="M166"/>
      <c r="N166"/>
    </row>
    <row r="167">
      <c r="A167" t="inlineStr">
        <is>
          <t>06</t>
        </is>
      </c>
      <c r="B167" t="inlineStr">
        <is>
          <t>06-llm-agentes</t>
        </is>
      </c>
      <c r="C167" t="inlineStr">
        <is>
          <t>Gradio Intro SOLUCIONES</t>
        </is>
      </c>
      <c r="D167" t="inlineStr">
        <is>
          <t>notebook</t>
        </is>
      </c>
      <c r="E167" t="inlineStr">
        <is>
          <t>06-llm-agentes/03-practicas/serving-orquestacion/Fase1/93_gradio_intro_SOLUCIONES.ipynb</t>
        </is>
      </c>
      <c r="F167" t="inlineStr">
        <is>
          <t>Revisar</t>
        </is>
      </c>
      <c r="G167" t="inlineStr">
        <is>
          <t>Pendiente</t>
        </is>
      </c>
      <c r="H167"/>
      <c r="I167"/>
      <c r="J167"/>
      <c r="K167"/>
      <c r="L167">
        <f>IF(AND(ISNUMBER(J167),ISNUMBER(K167)),MAX(J167-K167,0),"")</f>
      </c>
      <c r="M167"/>
      <c r="N167"/>
    </row>
    <row r="168">
      <c r="A168" t="inlineStr">
        <is>
          <t>06</t>
        </is>
      </c>
      <c r="B168" t="inlineStr">
        <is>
          <t>06-llm-agentes</t>
        </is>
      </c>
      <c r="C168" t="inlineStr">
        <is>
          <t>Gradio Intro SOLUCIONES TESTS</t>
        </is>
      </c>
      <c r="D168" t="inlineStr">
        <is>
          <t>notebook</t>
        </is>
      </c>
      <c r="E168" t="inlineStr">
        <is>
          <t>06-llm-agentes/03-practicas/serving-orquestacion/Fase1/93_gradio_intro_SOLUCIONES_TESTS.ipynb</t>
        </is>
      </c>
      <c r="F168" t="inlineStr">
        <is>
          <t>Revisar</t>
        </is>
      </c>
      <c r="G168" t="inlineStr">
        <is>
          <t>Pendiente</t>
        </is>
      </c>
      <c r="H168"/>
      <c r="I168"/>
      <c r="J168"/>
      <c r="K168"/>
      <c r="L168">
        <f>IF(AND(ISNUMBER(J168),ISNUMBER(K168)),MAX(J168-K168,0),"")</f>
      </c>
      <c r="M168"/>
      <c r="N168"/>
    </row>
    <row r="169">
      <c r="A169" t="inlineStr">
        <is>
          <t>06</t>
        </is>
      </c>
      <c r="B169" t="inlineStr">
        <is>
          <t>06-llm-agentes</t>
        </is>
      </c>
      <c r="C169" t="inlineStr">
        <is>
          <t>Langchain Intro</t>
        </is>
      </c>
      <c r="D169" t="inlineStr">
        <is>
          <t>notebook</t>
        </is>
      </c>
      <c r="E169" t="inlineStr">
        <is>
          <t>06-llm-agentes/03-practicas/serving-orquestacion/Fase1/94_langchain_intro.ipynb</t>
        </is>
      </c>
      <c r="F169" t="inlineStr">
        <is>
          <t>Revisar</t>
        </is>
      </c>
      <c r="G169" t="inlineStr">
        <is>
          <t>Pendiente</t>
        </is>
      </c>
      <c r="H169"/>
      <c r="I169"/>
      <c r="J169"/>
      <c r="K169"/>
      <c r="L169">
        <f>IF(AND(ISNUMBER(J169),ISNUMBER(K169)),MAX(J169-K169,0),"")</f>
      </c>
      <c r="M169"/>
      <c r="N169"/>
    </row>
    <row r="170">
      <c r="A170" t="inlineStr">
        <is>
          <t>06</t>
        </is>
      </c>
      <c r="B170" t="inlineStr">
        <is>
          <t>06-llm-agentes</t>
        </is>
      </c>
      <c r="C170" t="inlineStr">
        <is>
          <t>Langchain Intro SOLUCIONES</t>
        </is>
      </c>
      <c r="D170" t="inlineStr">
        <is>
          <t>notebook</t>
        </is>
      </c>
      <c r="E170" t="inlineStr">
        <is>
          <t>06-llm-agentes/03-practicas/serving-orquestacion/Fase1/94_langchain_intro_SOLUCIONES.ipynb</t>
        </is>
      </c>
      <c r="F170" t="inlineStr">
        <is>
          <t>Revisar</t>
        </is>
      </c>
      <c r="G170" t="inlineStr">
        <is>
          <t>Pendiente</t>
        </is>
      </c>
      <c r="H170"/>
      <c r="I170"/>
      <c r="J170"/>
      <c r="K170"/>
      <c r="L170">
        <f>IF(AND(ISNUMBER(J170),ISNUMBER(K170)),MAX(J170-K170,0),"")</f>
      </c>
      <c r="M170"/>
      <c r="N170"/>
    </row>
    <row r="171">
      <c r="A171" t="inlineStr">
        <is>
          <t>06</t>
        </is>
      </c>
      <c r="B171" t="inlineStr">
        <is>
          <t>06-llm-agentes</t>
        </is>
      </c>
      <c r="C171" t="inlineStr">
        <is>
          <t>Langchain Intro SOLUCIONES TESTS</t>
        </is>
      </c>
      <c r="D171" t="inlineStr">
        <is>
          <t>notebook</t>
        </is>
      </c>
      <c r="E171" t="inlineStr">
        <is>
          <t>06-llm-agentes/03-practicas/serving-orquestacion/Fase1/94_langchain_intro_SOLUCIONES_TESTS.ipynb</t>
        </is>
      </c>
      <c r="F171" t="inlineStr">
        <is>
          <t>Revisar</t>
        </is>
      </c>
      <c r="G171" t="inlineStr">
        <is>
          <t>Pendiente</t>
        </is>
      </c>
      <c r="H171"/>
      <c r="I171"/>
      <c r="J171"/>
      <c r="K171"/>
      <c r="L171">
        <f>IF(AND(ISNUMBER(J171),ISNUMBER(K171)),MAX(J171-K171,0),"")</f>
      </c>
      <c r="M171"/>
      <c r="N171"/>
    </row>
    <row r="172">
      <c r="A172" t="inlineStr">
        <is>
          <t>06</t>
        </is>
      </c>
      <c r="B172" t="inlineStr">
        <is>
          <t>06-llm-agentes</t>
        </is>
      </c>
      <c r="C172" t="inlineStr">
        <is>
          <t>Dspy Intro</t>
        </is>
      </c>
      <c r="D172" t="inlineStr">
        <is>
          <t>notebook</t>
        </is>
      </c>
      <c r="E172" t="inlineStr">
        <is>
          <t>06-llm-agentes/03-practicas/serving-orquestacion/Fase1/95_dspy_intro.ipynb</t>
        </is>
      </c>
      <c r="F172" t="inlineStr">
        <is>
          <t>Revisar</t>
        </is>
      </c>
      <c r="G172" t="inlineStr">
        <is>
          <t>Pendiente</t>
        </is>
      </c>
      <c r="H172"/>
      <c r="I172"/>
      <c r="J172"/>
      <c r="K172"/>
      <c r="L172">
        <f>IF(AND(ISNUMBER(J172),ISNUMBER(K172)),MAX(J172-K172,0),"")</f>
      </c>
      <c r="M172"/>
      <c r="N172"/>
    </row>
    <row r="173">
      <c r="A173" t="inlineStr">
        <is>
          <t>06</t>
        </is>
      </c>
      <c r="B173" t="inlineStr">
        <is>
          <t>06-llm-agentes</t>
        </is>
      </c>
      <c r="C173" t="inlineStr">
        <is>
          <t>Dspy Intro SOLUCIONES</t>
        </is>
      </c>
      <c r="D173" t="inlineStr">
        <is>
          <t>notebook</t>
        </is>
      </c>
      <c r="E173" t="inlineStr">
        <is>
          <t>06-llm-agentes/03-practicas/serving-orquestacion/Fase1/95_dspy_intro_SOLUCIONES.ipynb</t>
        </is>
      </c>
      <c r="F173" t="inlineStr">
        <is>
          <t>Revisar</t>
        </is>
      </c>
      <c r="G173" t="inlineStr">
        <is>
          <t>Pendiente</t>
        </is>
      </c>
      <c r="H173"/>
      <c r="I173"/>
      <c r="J173"/>
      <c r="K173"/>
      <c r="L173">
        <f>IF(AND(ISNUMBER(J173),ISNUMBER(K173)),MAX(J173-K173,0),"")</f>
      </c>
      <c r="M173"/>
      <c r="N173"/>
    </row>
    <row r="174">
      <c r="A174" t="inlineStr">
        <is>
          <t>06</t>
        </is>
      </c>
      <c r="B174" t="inlineStr">
        <is>
          <t>06-llm-agentes</t>
        </is>
      </c>
      <c r="C174" t="inlineStr">
        <is>
          <t>Dspy Intro SOLUCIONES TESTS</t>
        </is>
      </c>
      <c r="D174" t="inlineStr">
        <is>
          <t>notebook</t>
        </is>
      </c>
      <c r="E174" t="inlineStr">
        <is>
          <t>06-llm-agentes/03-practicas/serving-orquestacion/Fase1/95_dspy_intro_SOLUCIONES_TESTS.ipynb</t>
        </is>
      </c>
      <c r="F174" t="inlineStr">
        <is>
          <t>Revisar</t>
        </is>
      </c>
      <c r="G174" t="inlineStr">
        <is>
          <t>Pendiente</t>
        </is>
      </c>
      <c r="H174"/>
      <c r="I174"/>
      <c r="J174"/>
      <c r="K174"/>
      <c r="L174">
        <f>IF(AND(ISNUMBER(J174),ISNUMBER(K174)),MAX(J174-K174,0),"")</f>
      </c>
      <c r="M174"/>
      <c r="N174"/>
    </row>
    <row r="175">
      <c r="A175" t="inlineStr">
        <is>
          <t>06</t>
        </is>
      </c>
      <c r="B175" t="inlineStr">
        <is>
          <t>06-llm-agentes</t>
        </is>
      </c>
      <c r="C175" t="inlineStr">
        <is>
          <t>Bloque de serving y orquestación – Fase 1: Introducción práctica</t>
        </is>
      </c>
      <c r="D175" t="inlineStr">
        <is>
          <t>guía/rúbrica</t>
        </is>
      </c>
      <c r="E175" t="inlineStr">
        <is>
          <t>06-llm-agentes/03-practicas/serving-orquestacion/Fase1/guia-fase1.md</t>
        </is>
      </c>
      <c r="F175" t="inlineStr">
        <is>
          <t>Revisar</t>
        </is>
      </c>
      <c r="G175" t="inlineStr">
        <is>
          <t>Pendiente</t>
        </is>
      </c>
      <c r="H175"/>
      <c r="I175"/>
      <c r="J175"/>
      <c r="K175"/>
      <c r="L175">
        <f>IF(AND(ISNUMBER(J175),ISNUMBER(K175)),MAX(J175-K175,0),"")</f>
      </c>
      <c r="M175"/>
      <c r="N175"/>
    </row>
    <row r="176">
      <c r="A176" t="inlineStr">
        <is>
          <t>06</t>
        </is>
      </c>
      <c r="B176" t="inlineStr">
        <is>
          <t>06-llm-agentes</t>
        </is>
      </c>
      <c r="C176" t="inlineStr">
        <is>
          <t>Mlflow Llamaindex Rag</t>
        </is>
      </c>
      <c r="D176" t="inlineStr">
        <is>
          <t>notebook</t>
        </is>
      </c>
      <c r="E176" t="inlineStr">
        <is>
          <t>06-llm-agentes/03-practicas/serving-orquestacion/Fase2/100_mlflow_llamaindex_rag.ipynb</t>
        </is>
      </c>
      <c r="F176" t="inlineStr">
        <is>
          <t>Revisar</t>
        </is>
      </c>
      <c r="G176" t="inlineStr">
        <is>
          <t>Pendiente</t>
        </is>
      </c>
      <c r="H176"/>
      <c r="I176"/>
      <c r="J176"/>
      <c r="K176"/>
      <c r="L176">
        <f>IF(AND(ISNUMBER(J176),ISNUMBER(K176)),MAX(J176-K176,0),"")</f>
      </c>
      <c r="M176"/>
      <c r="N176"/>
    </row>
    <row r="177">
      <c r="A177" t="inlineStr">
        <is>
          <t>06</t>
        </is>
      </c>
      <c r="B177" t="inlineStr">
        <is>
          <t>06-llm-agentes</t>
        </is>
      </c>
      <c r="C177" t="inlineStr">
        <is>
          <t>Langgraph Orquestacion</t>
        </is>
      </c>
      <c r="D177" t="inlineStr">
        <is>
          <t>notebook</t>
        </is>
      </c>
      <c r="E177" t="inlineStr">
        <is>
          <t>06-llm-agentes/03-practicas/serving-orquestacion/Fase2/101_langgraph_orquestacion.ipynb</t>
        </is>
      </c>
      <c r="F177" t="inlineStr">
        <is>
          <t>Revisar</t>
        </is>
      </c>
      <c r="G177" t="inlineStr">
        <is>
          <t>Pendiente</t>
        </is>
      </c>
      <c r="H177"/>
      <c r="I177"/>
      <c r="J177"/>
      <c r="K177"/>
      <c r="L177">
        <f>IF(AND(ISNUMBER(J177),ISNUMBER(K177)),MAX(J177-K177,0),"")</f>
      </c>
      <c r="M177"/>
      <c r="N177"/>
    </row>
    <row r="178">
      <c r="A178" t="inlineStr">
        <is>
          <t>06</t>
        </is>
      </c>
      <c r="B178" t="inlineStr">
        <is>
          <t>06-llm-agentes</t>
        </is>
      </c>
      <c r="C178" t="inlineStr">
        <is>
          <t>Ollama Modelos Locales</t>
        </is>
      </c>
      <c r="D178" t="inlineStr">
        <is>
          <t>notebook</t>
        </is>
      </c>
      <c r="E178" t="inlineStr">
        <is>
          <t>06-llm-agentes/03-practicas/serving-orquestacion/Fase2/102_ollama_modelos_locales.ipynb</t>
        </is>
      </c>
      <c r="F178" t="inlineStr">
        <is>
          <t>Revisar</t>
        </is>
      </c>
      <c r="G178" t="inlineStr">
        <is>
          <t>Pendiente</t>
        </is>
      </c>
      <c r="H178"/>
      <c r="I178"/>
      <c r="J178"/>
      <c r="K178"/>
      <c r="L178">
        <f>IF(AND(ISNUMBER(J178),ISNUMBER(K178)),MAX(J178-K178,0),"")</f>
      </c>
      <c r="M178"/>
      <c r="N178"/>
    </row>
    <row r="179">
      <c r="A179" t="inlineStr">
        <is>
          <t>06</t>
        </is>
      </c>
      <c r="B179" t="inlineStr">
        <is>
          <t>06-llm-agentes</t>
        </is>
      </c>
      <c r="C179" t="inlineStr">
        <is>
          <t>Fastapi Serving Modelos</t>
        </is>
      </c>
      <c r="D179" t="inlineStr">
        <is>
          <t>notebook</t>
        </is>
      </c>
      <c r="E179" t="inlineStr">
        <is>
          <t>06-llm-agentes/03-practicas/serving-orquestacion/Fase2/103_fastapi_serving_modelos.ipynb</t>
        </is>
      </c>
      <c r="F179" t="inlineStr">
        <is>
          <t>Revisar</t>
        </is>
      </c>
      <c r="G179" t="inlineStr">
        <is>
          <t>Pendiente</t>
        </is>
      </c>
      <c r="H179"/>
      <c r="I179"/>
      <c r="J179"/>
      <c r="K179"/>
      <c r="L179">
        <f>IF(AND(ISNUMBER(J179),ISNUMBER(K179)),MAX(J179-K179,0),"")</f>
      </c>
      <c r="M179"/>
      <c r="N179"/>
    </row>
    <row r="180">
      <c r="A180" t="inlineStr">
        <is>
          <t>06</t>
        </is>
      </c>
      <c r="B180" t="inlineStr">
        <is>
          <t>06-llm-agentes</t>
        </is>
      </c>
      <c r="C180" t="inlineStr">
        <is>
          <t>Gradio Model</t>
        </is>
      </c>
      <c r="D180" t="inlineStr">
        <is>
          <t>notebook</t>
        </is>
      </c>
      <c r="E180" t="inlineStr">
        <is>
          <t>06-llm-agentes/03-practicas/serving-orquestacion/Fase2/96_gradio_model.ipynb</t>
        </is>
      </c>
      <c r="F180" t="inlineStr">
        <is>
          <t>Revisar</t>
        </is>
      </c>
      <c r="G180" t="inlineStr">
        <is>
          <t>Pendiente</t>
        </is>
      </c>
      <c r="H180"/>
      <c r="I180"/>
      <c r="J180"/>
      <c r="K180"/>
      <c r="L180">
        <f>IF(AND(ISNUMBER(J180),ISNUMBER(K180)),MAX(J180-K180,0),"")</f>
      </c>
      <c r="M180"/>
      <c r="N180"/>
    </row>
    <row r="181">
      <c r="A181" t="inlineStr">
        <is>
          <t>06</t>
        </is>
      </c>
      <c r="B181" t="inlineStr">
        <is>
          <t>06-llm-agentes</t>
        </is>
      </c>
      <c r="C181" t="inlineStr">
        <is>
          <t>Gradio Model SOLUCIONES</t>
        </is>
      </c>
      <c r="D181" t="inlineStr">
        <is>
          <t>notebook</t>
        </is>
      </c>
      <c r="E181" t="inlineStr">
        <is>
          <t>06-llm-agentes/03-practicas/serving-orquestacion/Fase2/96_gradio_model_SOLUCIONES.ipynb</t>
        </is>
      </c>
      <c r="F181" t="inlineStr">
        <is>
          <t>Revisar</t>
        </is>
      </c>
      <c r="G181" t="inlineStr">
        <is>
          <t>Pendiente</t>
        </is>
      </c>
      <c r="H181"/>
      <c r="I181"/>
      <c r="J181"/>
      <c r="K181"/>
      <c r="L181">
        <f>IF(AND(ISNUMBER(J181),ISNUMBER(K181)),MAX(J181-K181,0),"")</f>
      </c>
      <c r="M181"/>
      <c r="N181"/>
    </row>
    <row r="182">
      <c r="A182" t="inlineStr">
        <is>
          <t>06</t>
        </is>
      </c>
      <c r="B182" t="inlineStr">
        <is>
          <t>06-llm-agentes</t>
        </is>
      </c>
      <c r="C182" t="inlineStr">
        <is>
          <t>Gradio Model SOLUCIONES TESTS</t>
        </is>
      </c>
      <c r="D182" t="inlineStr">
        <is>
          <t>notebook</t>
        </is>
      </c>
      <c r="E182" t="inlineStr">
        <is>
          <t>06-llm-agentes/03-practicas/serving-orquestacion/Fase2/96_gradio_model_SOLUCIONES_TESTS.ipynb</t>
        </is>
      </c>
      <c r="F182" t="inlineStr">
        <is>
          <t>Revisar</t>
        </is>
      </c>
      <c r="G182" t="inlineStr">
        <is>
          <t>Pendiente</t>
        </is>
      </c>
      <c r="H182"/>
      <c r="I182"/>
      <c r="J182"/>
      <c r="K182"/>
      <c r="L182">
        <f>IF(AND(ISNUMBER(J182),ISNUMBER(K182)),MAX(J182-K182,0),"")</f>
      </c>
      <c r="M182"/>
      <c r="N182"/>
    </row>
    <row r="183">
      <c r="A183" t="inlineStr">
        <is>
          <t>06</t>
        </is>
      </c>
      <c r="B183" t="inlineStr">
        <is>
          <t>06-llm-agentes</t>
        </is>
      </c>
      <c r="C183" t="inlineStr">
        <is>
          <t>Langchain Pipeline</t>
        </is>
      </c>
      <c r="D183" t="inlineStr">
        <is>
          <t>notebook</t>
        </is>
      </c>
      <c r="E183" t="inlineStr">
        <is>
          <t>06-llm-agentes/03-practicas/serving-orquestacion/Fase2/97_langchain_pipeline.ipynb</t>
        </is>
      </c>
      <c r="F183" t="inlineStr">
        <is>
          <t>Revisar</t>
        </is>
      </c>
      <c r="G183" t="inlineStr">
        <is>
          <t>Pendiente</t>
        </is>
      </c>
      <c r="H183"/>
      <c r="I183"/>
      <c r="J183"/>
      <c r="K183"/>
      <c r="L183">
        <f>IF(AND(ISNUMBER(J183),ISNUMBER(K183)),MAX(J183-K183,0),"")</f>
      </c>
      <c r="M183"/>
      <c r="N183"/>
    </row>
    <row r="184">
      <c r="A184" t="inlineStr">
        <is>
          <t>06</t>
        </is>
      </c>
      <c r="B184" t="inlineStr">
        <is>
          <t>06-llm-agentes</t>
        </is>
      </c>
      <c r="C184" t="inlineStr">
        <is>
          <t>Langchain Pipeline SOLUCIONES</t>
        </is>
      </c>
      <c r="D184" t="inlineStr">
        <is>
          <t>notebook</t>
        </is>
      </c>
      <c r="E184" t="inlineStr">
        <is>
          <t>06-llm-agentes/03-practicas/serving-orquestacion/Fase2/97_langchain_pipeline_SOLUCIONES.ipynb</t>
        </is>
      </c>
      <c r="F184" t="inlineStr">
        <is>
          <t>Revisar</t>
        </is>
      </c>
      <c r="G184" t="inlineStr">
        <is>
          <t>Pendiente</t>
        </is>
      </c>
      <c r="H184"/>
      <c r="I184"/>
      <c r="J184"/>
      <c r="K184"/>
      <c r="L184">
        <f>IF(AND(ISNUMBER(J184),ISNUMBER(K184)),MAX(J184-K184,0),"")</f>
      </c>
      <c r="M184"/>
      <c r="N184"/>
    </row>
    <row r="185">
      <c r="A185" t="inlineStr">
        <is>
          <t>06</t>
        </is>
      </c>
      <c r="B185" t="inlineStr">
        <is>
          <t>06-llm-agentes</t>
        </is>
      </c>
      <c r="C185" t="inlineStr">
        <is>
          <t>Langchain Pipeline SOLUCIONES TESTS</t>
        </is>
      </c>
      <c r="D185" t="inlineStr">
        <is>
          <t>notebook</t>
        </is>
      </c>
      <c r="E185" t="inlineStr">
        <is>
          <t>06-llm-agentes/03-practicas/serving-orquestacion/Fase2/97_langchain_pipeline_SOLUCIONES_TESTS.ipynb</t>
        </is>
      </c>
      <c r="F185" t="inlineStr">
        <is>
          <t>Revisar</t>
        </is>
      </c>
      <c r="G185" t="inlineStr">
        <is>
          <t>Pendiente</t>
        </is>
      </c>
      <c r="H185"/>
      <c r="I185"/>
      <c r="J185"/>
      <c r="K185"/>
      <c r="L185">
        <f>IF(AND(ISNUMBER(J185),ISNUMBER(K185)),MAX(J185-K185,0),"")</f>
      </c>
      <c r="M185"/>
      <c r="N185"/>
    </row>
    <row r="186">
      <c r="A186" t="inlineStr">
        <is>
          <t>06</t>
        </is>
      </c>
      <c r="B186" t="inlineStr">
        <is>
          <t>06-llm-agentes</t>
        </is>
      </c>
      <c r="C186" t="inlineStr">
        <is>
          <t>Dspy Mcp</t>
        </is>
      </c>
      <c r="D186" t="inlineStr">
        <is>
          <t>notebook</t>
        </is>
      </c>
      <c r="E186" t="inlineStr">
        <is>
          <t>06-llm-agentes/03-practicas/serving-orquestacion/Fase2/98_dspy_mcp.ipynb</t>
        </is>
      </c>
      <c r="F186" t="inlineStr">
        <is>
          <t>Revisar</t>
        </is>
      </c>
      <c r="G186" t="inlineStr">
        <is>
          <t>Pendiente</t>
        </is>
      </c>
      <c r="H186"/>
      <c r="I186"/>
      <c r="J186"/>
      <c r="K186"/>
      <c r="L186">
        <f>IF(AND(ISNUMBER(J186),ISNUMBER(K186)),MAX(J186-K186,0),"")</f>
      </c>
      <c r="M186"/>
      <c r="N186"/>
    </row>
    <row r="187">
      <c r="A187" t="inlineStr">
        <is>
          <t>06</t>
        </is>
      </c>
      <c r="B187" t="inlineStr">
        <is>
          <t>06-llm-agentes</t>
        </is>
      </c>
      <c r="C187" t="inlineStr">
        <is>
          <t>Dspy Mcp SOLUCIONES</t>
        </is>
      </c>
      <c r="D187" t="inlineStr">
        <is>
          <t>notebook</t>
        </is>
      </c>
      <c r="E187" t="inlineStr">
        <is>
          <t>06-llm-agentes/03-practicas/serving-orquestacion/Fase2/98_dspy_mcp_SOLUCIONES.ipynb</t>
        </is>
      </c>
      <c r="F187" t="inlineStr">
        <is>
          <t>Revisar</t>
        </is>
      </c>
      <c r="G187" t="inlineStr">
        <is>
          <t>Pendiente</t>
        </is>
      </c>
      <c r="H187"/>
      <c r="I187"/>
      <c r="J187"/>
      <c r="K187"/>
      <c r="L187">
        <f>IF(AND(ISNUMBER(J187),ISNUMBER(K187)),MAX(J187-K187,0),"")</f>
      </c>
      <c r="M187"/>
      <c r="N187"/>
    </row>
    <row r="188">
      <c r="A188" t="inlineStr">
        <is>
          <t>06</t>
        </is>
      </c>
      <c r="B188" t="inlineStr">
        <is>
          <t>06-llm-agentes</t>
        </is>
      </c>
      <c r="C188" t="inlineStr">
        <is>
          <t>Dspy Mcp SOLUCIONES TESTS</t>
        </is>
      </c>
      <c r="D188" t="inlineStr">
        <is>
          <t>notebook</t>
        </is>
      </c>
      <c r="E188" t="inlineStr">
        <is>
          <t>06-llm-agentes/03-practicas/serving-orquestacion/Fase2/98_dspy_mcp_SOLUCIONES_TESTS.ipynb</t>
        </is>
      </c>
      <c r="F188" t="inlineStr">
        <is>
          <t>Revisar</t>
        </is>
      </c>
      <c r="G188" t="inlineStr">
        <is>
          <t>Pendiente</t>
        </is>
      </c>
      <c r="H188"/>
      <c r="I188"/>
      <c r="J188"/>
      <c r="K188"/>
      <c r="L188">
        <f>IF(AND(ISNUMBER(J188),ISNUMBER(K188)),MAX(J188-K188,0),"")</f>
      </c>
      <c r="M188"/>
      <c r="N188"/>
    </row>
    <row r="189">
      <c r="A189" t="inlineStr">
        <is>
          <t>06</t>
        </is>
      </c>
      <c r="B189" t="inlineStr">
        <is>
          <t>06-llm-agentes</t>
        </is>
      </c>
      <c r="C189" t="inlineStr">
        <is>
          <t>Herramientas Ia Integradas</t>
        </is>
      </c>
      <c r="D189" t="inlineStr">
        <is>
          <t>notebook</t>
        </is>
      </c>
      <c r="E189" t="inlineStr">
        <is>
          <t>06-llm-agentes/03-practicas/serving-orquestacion/Fase2/99_herramientas_ia_integradas.ipynb</t>
        </is>
      </c>
      <c r="F189" t="inlineStr">
        <is>
          <t>Revisar</t>
        </is>
      </c>
      <c r="G189" t="inlineStr">
        <is>
          <t>Pendiente</t>
        </is>
      </c>
      <c r="H189"/>
      <c r="I189"/>
      <c r="J189"/>
      <c r="K189"/>
      <c r="L189">
        <f>IF(AND(ISNUMBER(J189),ISNUMBER(K189)),MAX(J189-K189,0),"")</f>
      </c>
      <c r="M189"/>
      <c r="N189"/>
    </row>
    <row r="190">
      <c r="A190" t="inlineStr">
        <is>
          <t>06</t>
        </is>
      </c>
      <c r="B190" t="inlineStr">
        <is>
          <t>06-llm-agentes</t>
        </is>
      </c>
      <c r="C190" t="inlineStr">
        <is>
          <t>Bloque de serving y orquestación – Fase 2: Desarrollo avanzado</t>
        </is>
      </c>
      <c r="D190" t="inlineStr">
        <is>
          <t>guía/rúbrica</t>
        </is>
      </c>
      <c r="E190" t="inlineStr">
        <is>
          <t>06-llm-agentes/03-practicas/serving-orquestacion/Fase2/guia-fase2.md</t>
        </is>
      </c>
      <c r="F190" t="inlineStr">
        <is>
          <t>Revisar</t>
        </is>
      </c>
      <c r="G190" t="inlineStr">
        <is>
          <t>Pendiente</t>
        </is>
      </c>
      <c r="H190"/>
      <c r="I190"/>
      <c r="J190"/>
      <c r="K190"/>
      <c r="L190">
        <f>IF(AND(ISNUMBER(J190),ISNUMBER(K190)),MAX(J190-K190,0),"")</f>
      </c>
      <c r="M190"/>
      <c r="N190"/>
    </row>
    <row r="191">
      <c r="A191" t="inlineStr">
        <is>
          <t>06</t>
        </is>
      </c>
      <c r="B191" t="inlineStr">
        <is>
          <t>06-llm-agentes</t>
        </is>
      </c>
      <c r="C191" t="inlineStr">
        <is>
          <t>Sesión compactada - Bloque de serving y orquestación</t>
        </is>
      </c>
      <c r="D191" t="inlineStr">
        <is>
          <t>guía/rúbrica</t>
        </is>
      </c>
      <c r="E191" t="inlineStr">
        <is>
          <t>06-llm-agentes/03-practicas/serving-orquestacion/SESION_CONTINUAR.md</t>
        </is>
      </c>
      <c r="F191" t="inlineStr">
        <is>
          <t>Revisar</t>
        </is>
      </c>
      <c r="G191" t="inlineStr">
        <is>
          <t>Pendiente</t>
        </is>
      </c>
      <c r="H191"/>
      <c r="I191"/>
      <c r="J191"/>
      <c r="K191"/>
      <c r="L191">
        <f>IF(AND(ISNUMBER(J191),ISNUMBER(K191)),MAX(J191-K191,0),"")</f>
      </c>
      <c r="M191"/>
      <c r="N191"/>
    </row>
    <row r="192">
      <c r="A192" t="inlineStr">
        <is>
          <t>06</t>
        </is>
      </c>
      <c r="B192" t="inlineStr">
        <is>
          <t>06-llm-agentes</t>
        </is>
      </c>
      <c r="C192" t="inlineStr">
        <is>
          <t>Sesión separada - Planificación curso siguiente</t>
        </is>
      </c>
      <c r="D192" t="inlineStr">
        <is>
          <t>guía/rúbrica</t>
        </is>
      </c>
      <c r="E192" t="inlineStr">
        <is>
          <t>06-llm-agentes/03-practicas/serving-orquestacion/SESION_SIGUIENTE_CURSO.md</t>
        </is>
      </c>
      <c r="F192" t="inlineStr">
        <is>
          <t>Revisar</t>
        </is>
      </c>
      <c r="G192" t="inlineStr">
        <is>
          <t>Pendiente</t>
        </is>
      </c>
      <c r="H192"/>
      <c r="I192"/>
      <c r="J192"/>
      <c r="K192"/>
      <c r="L192">
        <f>IF(AND(ISNUMBER(J192),ISNUMBER(K192)),MAX(J192-K192,0),"")</f>
      </c>
      <c r="M192"/>
      <c r="N192"/>
    </row>
    <row r="193">
      <c r="A193" t="inlineStr">
        <is>
          <t>06</t>
        </is>
      </c>
      <c r="B193" t="inlineStr">
        <is>
          <t>06-llm-agentes</t>
        </is>
      </c>
      <c r="C193" t="inlineStr">
        <is>
          <t>Evaluación — UD6 LLM y agentes</t>
        </is>
      </c>
      <c r="D193" t="inlineStr">
        <is>
          <t>guía/rúbrica</t>
        </is>
      </c>
      <c r="E193" t="inlineStr">
        <is>
          <t>06-llm-agentes/04-evaluacion/README.md</t>
        </is>
      </c>
      <c r="F193" t="inlineStr">
        <is>
          <t>Sí</t>
        </is>
      </c>
      <c r="G193" t="inlineStr">
        <is>
          <t>Pendiente</t>
        </is>
      </c>
      <c r="H193"/>
      <c r="I193"/>
      <c r="J193"/>
      <c r="K193"/>
      <c r="L193">
        <f>IF(AND(ISNUMBER(J193),ISNUMBER(K193)),MAX(J193-K193,0),"")</f>
      </c>
      <c r="M193"/>
      <c r="N193"/>
    </row>
    <row r="194">
      <c r="A194" t="inlineStr">
        <is>
          <t>06</t>
        </is>
      </c>
      <c r="B194" t="inlineStr">
        <is>
          <t>06-llm-agentes</t>
        </is>
      </c>
      <c r="C194" t="inlineStr">
        <is>
          <t>Checklist de entrega — UD6 LLM y agentes</t>
        </is>
      </c>
      <c r="D194" t="inlineStr">
        <is>
          <t>guía/rúbrica</t>
        </is>
      </c>
      <c r="E194" t="inlineStr">
        <is>
          <t>06-llm-agentes/04-evaluacion/checklist-entrega.md</t>
        </is>
      </c>
      <c r="F194" t="inlineStr">
        <is>
          <t>Sí</t>
        </is>
      </c>
      <c r="G194" t="inlineStr">
        <is>
          <t>Pendiente</t>
        </is>
      </c>
      <c r="H194"/>
      <c r="I194"/>
      <c r="J194"/>
      <c r="K194"/>
      <c r="L194">
        <f>IF(AND(ISNUMBER(J194),ISNUMBER(K194)),MAX(J194-K194,0),"")</f>
      </c>
      <c r="M194"/>
      <c r="N194"/>
    </row>
    <row r="195">
      <c r="A195" t="inlineStr">
        <is>
          <t>06</t>
        </is>
      </c>
      <c r="B195" t="inlineStr">
        <is>
          <t>06-llm-agentes</t>
        </is>
      </c>
      <c r="C195" t="inlineStr">
        <is>
          <t>Cuestionario 1 Interfaces Api Serving</t>
        </is>
      </c>
      <c r="D195" t="inlineStr">
        <is>
          <t>cuestionario</t>
        </is>
      </c>
      <c r="E195" t="inlineStr">
        <is>
          <t>06-llm-agentes/04-evaluacion/cuestionario_1_interfaces_api_serving.gift</t>
        </is>
      </c>
      <c r="F195" t="inlineStr">
        <is>
          <t>Sí</t>
        </is>
      </c>
      <c r="G195" t="inlineStr">
        <is>
          <t>Pendiente</t>
        </is>
      </c>
      <c r="H195"/>
      <c r="I195"/>
      <c r="J195"/>
      <c r="K195"/>
      <c r="L195">
        <f>IF(AND(ISNUMBER(J195),ISNUMBER(K195)),MAX(J195-K195,0),"")</f>
      </c>
      <c r="M195"/>
      <c r="N195"/>
    </row>
    <row r="196">
      <c r="A196" t="inlineStr">
        <is>
          <t>06</t>
        </is>
      </c>
      <c r="B196" t="inlineStr">
        <is>
          <t>06-llm-agentes</t>
        </is>
      </c>
      <c r="C196" t="inlineStr">
        <is>
          <t>Cuestionario 2 Orquestacion Rag Optimizacion</t>
        </is>
      </c>
      <c r="D196" t="inlineStr">
        <is>
          <t>cuestionario</t>
        </is>
      </c>
      <c r="E196" t="inlineStr">
        <is>
          <t>06-llm-agentes/04-evaluacion/cuestionario_2_orquestacion_rag_optimizacion.gift</t>
        </is>
      </c>
      <c r="F196" t="inlineStr">
        <is>
          <t>Sí</t>
        </is>
      </c>
      <c r="G196" t="inlineStr">
        <is>
          <t>Pendiente</t>
        </is>
      </c>
      <c r="H196"/>
      <c r="I196"/>
      <c r="J196"/>
      <c r="K196"/>
      <c r="L196">
        <f>IF(AND(ISNUMBER(J196),ISNUMBER(K196)),MAX(J196-K196,0),"")</f>
      </c>
      <c r="M196"/>
      <c r="N196"/>
    </row>
    <row r="197">
      <c r="A197" t="inlineStr">
        <is>
          <t>06</t>
        </is>
      </c>
      <c r="B197" t="inlineStr">
        <is>
          <t>06-llm-agentes</t>
        </is>
      </c>
      <c r="C197" t="inlineStr">
        <is>
          <t>Rúbrica — UD6 LLM y agentes</t>
        </is>
      </c>
      <c r="D197" t="inlineStr">
        <is>
          <t>guía/rúbrica</t>
        </is>
      </c>
      <c r="E197" t="inlineStr">
        <is>
          <t>06-llm-agentes/04-evaluacion/rubrica.md</t>
        </is>
      </c>
      <c r="F197" t="inlineStr">
        <is>
          <t>Sí</t>
        </is>
      </c>
      <c r="G197" t="inlineStr">
        <is>
          <t>Pendiente</t>
        </is>
      </c>
      <c r="H197"/>
      <c r="I197"/>
      <c r="J197"/>
      <c r="K197"/>
      <c r="L197">
        <f>IF(AND(ISNUMBER(J197),ISNUMBER(K197)),MAX(J197-K197,0),"")</f>
      </c>
      <c r="M197"/>
      <c r="N197"/>
    </row>
    <row r="198">
      <c r="A198" t="inlineStr">
        <is>
          <t>07</t>
        </is>
      </c>
      <c r="B198" t="inlineStr">
        <is>
          <t>UD7 — Convergencia de Herramientas IA</t>
        </is>
      </c>
      <c r="C198" t="inlineStr">
        <is>
          <t>P1 Desarrollo Asistido</t>
        </is>
      </c>
      <c r="D198" t="inlineStr">
        <is>
          <t>notebook</t>
        </is>
      </c>
      <c r="E198" t="inlineStr">
        <is>
          <t>07-convergencia-herramientas/03-practicas/P1_desarrollo_asistido.ipynb</t>
        </is>
      </c>
      <c r="F198" t="inlineStr">
        <is>
          <t>Revisar</t>
        </is>
      </c>
      <c r="G198" t="inlineStr">
        <is>
          <t>Pendiente</t>
        </is>
      </c>
      <c r="H198"/>
      <c r="I198"/>
      <c r="J198"/>
      <c r="K198"/>
      <c r="L198">
        <f>IF(AND(ISNUMBER(J198),ISNUMBER(K198)),MAX(J198-K198,0),"")</f>
      </c>
      <c r="M198"/>
      <c r="N198"/>
    </row>
    <row r="199">
      <c r="A199" t="inlineStr">
        <is>
          <t>07</t>
        </is>
      </c>
      <c r="B199" t="inlineStr">
        <is>
          <t>UD7 — Convergencia de Herramientas IA</t>
        </is>
      </c>
      <c r="C199" t="inlineStr">
        <is>
          <t>P2 Pipeline Datos</t>
        </is>
      </c>
      <c r="D199" t="inlineStr">
        <is>
          <t>notebook</t>
        </is>
      </c>
      <c r="E199" t="inlineStr">
        <is>
          <t>07-convergencia-herramientas/03-practicas/P2_pipeline_datos.ipynb</t>
        </is>
      </c>
      <c r="F199" t="inlineStr">
        <is>
          <t>Revisar</t>
        </is>
      </c>
      <c r="G199" t="inlineStr">
        <is>
          <t>Pendiente</t>
        </is>
      </c>
      <c r="H199"/>
      <c r="I199"/>
      <c r="J199"/>
      <c r="K199"/>
      <c r="L199">
        <f>IF(AND(ISNUMBER(J199),ISNUMBER(K199)),MAX(J199-K199,0),"")</f>
      </c>
      <c r="M199"/>
      <c r="N199"/>
    </row>
    <row r="200">
      <c r="A200" t="inlineStr">
        <is>
          <t>07</t>
        </is>
      </c>
      <c r="B200" t="inlineStr">
        <is>
          <t>UD7 — Convergencia de Herramientas IA</t>
        </is>
      </c>
      <c r="C200" t="inlineStr">
        <is>
          <t>P3 Experimentacion Mlflow</t>
        </is>
      </c>
      <c r="D200" t="inlineStr">
        <is>
          <t>notebook</t>
        </is>
      </c>
      <c r="E200" t="inlineStr">
        <is>
          <t>07-convergencia-herramientas/03-practicas/P3_experimentacion_mlflow.ipynb</t>
        </is>
      </c>
      <c r="F200" t="inlineStr">
        <is>
          <t>Revisar</t>
        </is>
      </c>
      <c r="G200" t="inlineStr">
        <is>
          <t>Pendiente</t>
        </is>
      </c>
      <c r="H200"/>
      <c r="I200"/>
      <c r="J200"/>
      <c r="K200"/>
      <c r="L200">
        <f>IF(AND(ISNUMBER(J200),ISNUMBER(K200)),MAX(J200-K200,0),"")</f>
      </c>
      <c r="M200"/>
      <c r="N200"/>
    </row>
    <row r="201">
      <c r="A201" t="inlineStr">
        <is>
          <t>07</t>
        </is>
      </c>
      <c r="B201" t="inlineStr">
        <is>
          <t>UD7 — Convergencia de Herramientas IA</t>
        </is>
      </c>
      <c r="C201" t="inlineStr">
        <is>
          <t>P4 Orquestacion Prefect</t>
        </is>
      </c>
      <c r="D201" t="inlineStr">
        <is>
          <t>notebook</t>
        </is>
      </c>
      <c r="E201" t="inlineStr">
        <is>
          <t>07-convergencia-herramientas/03-practicas/P4_orquestacion_prefect.ipynb</t>
        </is>
      </c>
      <c r="F201" t="inlineStr">
        <is>
          <t>Revisar</t>
        </is>
      </c>
      <c r="G201" t="inlineStr">
        <is>
          <t>Pendiente</t>
        </is>
      </c>
      <c r="H201"/>
      <c r="I201"/>
      <c r="J201"/>
      <c r="K201"/>
      <c r="L201">
        <f>IF(AND(ISNUMBER(J201),ISNUMBER(K201)),MAX(J201-K201,0),"")</f>
      </c>
      <c r="M201"/>
      <c r="N201"/>
    </row>
    <row r="202">
      <c r="A202" t="inlineStr">
        <is>
          <t>07</t>
        </is>
      </c>
      <c r="B202" t="inlineStr">
        <is>
          <t>UD7 — Convergencia de Herramientas IA</t>
        </is>
      </c>
      <c r="C202" t="inlineStr">
        <is>
          <t>P5 Serving Api</t>
        </is>
      </c>
      <c r="D202" t="inlineStr">
        <is>
          <t>notebook</t>
        </is>
      </c>
      <c r="E202" t="inlineStr">
        <is>
          <t>07-convergencia-herramientas/03-practicas/P5_serving_api.ipynb</t>
        </is>
      </c>
      <c r="F202" t="inlineStr">
        <is>
          <t>Revisar</t>
        </is>
      </c>
      <c r="G202" t="inlineStr">
        <is>
          <t>Pendiente</t>
        </is>
      </c>
      <c r="H202"/>
      <c r="I202"/>
      <c r="J202"/>
      <c r="K202"/>
      <c r="L202">
        <f>IF(AND(ISNUMBER(J202),ISNUMBER(K202)),MAX(J202-K202,0),"")</f>
      </c>
      <c r="M202"/>
      <c r="N202"/>
    </row>
    <row r="203">
      <c r="A203" t="inlineStr">
        <is>
          <t>07</t>
        </is>
      </c>
      <c r="B203" t="inlineStr">
        <is>
          <t>UD7 — Convergencia de Herramientas IA</t>
        </is>
      </c>
      <c r="C203" t="inlineStr">
        <is>
          <t>P6 Agentes Rag</t>
        </is>
      </c>
      <c r="D203" t="inlineStr">
        <is>
          <t>notebook</t>
        </is>
      </c>
      <c r="E203" t="inlineStr">
        <is>
          <t>07-convergencia-herramientas/03-practicas/P6_agentes_rag.ipynb</t>
        </is>
      </c>
      <c r="F203" t="inlineStr">
        <is>
          <t>Revisar</t>
        </is>
      </c>
      <c r="G203" t="inlineStr">
        <is>
          <t>Pendiente</t>
        </is>
      </c>
      <c r="H203"/>
      <c r="I203"/>
      <c r="J203"/>
      <c r="K203"/>
      <c r="L203">
        <f>IF(AND(ISNUMBER(J203),ISNUMBER(K203)),MAX(J203-K203,0),"")</f>
      </c>
      <c r="M203"/>
      <c r="N203"/>
    </row>
    <row r="204">
      <c r="A204" t="inlineStr">
        <is>
          <t>07</t>
        </is>
      </c>
      <c r="B204" t="inlineStr">
        <is>
          <t>UD7 — Convergencia de Herramientas IA</t>
        </is>
      </c>
      <c r="C204" t="inlineStr">
        <is>
          <t>P7 Observabilidad</t>
        </is>
      </c>
      <c r="D204" t="inlineStr">
        <is>
          <t>notebook</t>
        </is>
      </c>
      <c r="E204" t="inlineStr">
        <is>
          <t>07-convergencia-herramientas/03-practicas/P7_observabilidad.ipynb</t>
        </is>
      </c>
      <c r="F204" t="inlineStr">
        <is>
          <t>Revisar</t>
        </is>
      </c>
      <c r="G204" t="inlineStr">
        <is>
          <t>Pendiente</t>
        </is>
      </c>
      <c r="H204"/>
      <c r="I204"/>
      <c r="J204"/>
      <c r="K204"/>
      <c r="L204">
        <f>IF(AND(ISNUMBER(J204),ISNUMBER(K204)),MAX(J204-K204,0),"")</f>
      </c>
      <c r="M204"/>
      <c r="N204"/>
    </row>
    <row r="205">
      <c r="A205" t="inlineStr">
        <is>
          <t>07</t>
        </is>
      </c>
      <c r="B205" t="inlineStr">
        <is>
          <t>UD7 — Convergencia de Herramientas IA</t>
        </is>
      </c>
      <c r="C205" t="inlineStr">
        <is>
          <t>P8 Ia Responsable</t>
        </is>
      </c>
      <c r="D205" t="inlineStr">
        <is>
          <t>notebook</t>
        </is>
      </c>
      <c r="E205" t="inlineStr">
        <is>
          <t>07-convergencia-herramientas/03-practicas/P8_ia_responsable.ipynb</t>
        </is>
      </c>
      <c r="F205" t="inlineStr">
        <is>
          <t>Revisar</t>
        </is>
      </c>
      <c r="G205" t="inlineStr">
        <is>
          <t>Pendiente</t>
        </is>
      </c>
      <c r="H205"/>
      <c r="I205"/>
      <c r="J205"/>
      <c r="K205"/>
      <c r="L205">
        <f>IF(AND(ISNUMBER(J205),ISNUMBER(K205)),MAX(J205-K205,0),"")</f>
      </c>
      <c r="M205"/>
      <c r="N205"/>
    </row>
    <row r="206">
      <c r="A206" t="inlineStr">
        <is>
          <t>07</t>
        </is>
      </c>
      <c r="B206" t="inlineStr">
        <is>
          <t>UD7 — Convergencia de Herramientas IA</t>
        </is>
      </c>
      <c r="C206" t="inlineStr">
        <is>
          <t>Evaluación — UD7 Convergencia de Herramientas IA</t>
        </is>
      </c>
      <c r="D206" t="inlineStr">
        <is>
          <t>guía/rúbrica</t>
        </is>
      </c>
      <c r="E206" t="inlineStr">
        <is>
          <t>07-convergencia-herramientas/04-evaluacion/README.md</t>
        </is>
      </c>
      <c r="F206" t="inlineStr">
        <is>
          <t>Sí</t>
        </is>
      </c>
      <c r="G206" t="inlineStr">
        <is>
          <t>Pendiente</t>
        </is>
      </c>
      <c r="H206"/>
      <c r="I206"/>
      <c r="J206"/>
      <c r="K206"/>
      <c r="L206">
        <f>IF(AND(ISNUMBER(J206),ISNUMBER(K206)),MAX(J206-K206,0),"")</f>
      </c>
      <c r="M206"/>
      <c r="N206"/>
    </row>
    <row r="207">
      <c r="A207" t="inlineStr">
        <is>
          <t>07</t>
        </is>
      </c>
      <c r="B207" t="inlineStr">
        <is>
          <t>UD7 — Convergencia de Herramientas IA</t>
        </is>
      </c>
      <c r="C207" t="inlineStr">
        <is>
          <t>Criterios de Evaluación — UD7 Convergencia de Herramientas IA</t>
        </is>
      </c>
      <c r="D207" t="inlineStr">
        <is>
          <t>guía/rúbrica</t>
        </is>
      </c>
      <c r="E207" t="inlineStr">
        <is>
          <t>07-convergencia-herramientas/04-evaluacion/criterios_evaluacion.md</t>
        </is>
      </c>
      <c r="F207" t="inlineStr">
        <is>
          <t>Sí</t>
        </is>
      </c>
      <c r="G207" t="inlineStr">
        <is>
          <t>Pendiente</t>
        </is>
      </c>
      <c r="H207"/>
      <c r="I207"/>
      <c r="J207"/>
      <c r="K207"/>
      <c r="L207">
        <f>IF(AND(ISNUMBER(J207),ISNUMBER(K207)),MAX(J207-K207,0),"")</f>
      </c>
      <c r="M207"/>
      <c r="N207"/>
    </row>
    <row r="208">
      <c r="A208" t="inlineStr">
        <is>
          <t>07</t>
        </is>
      </c>
      <c r="B208" t="inlineStr">
        <is>
          <t>UD7 — Convergencia de Herramientas IA</t>
        </is>
      </c>
      <c r="C208" t="inlineStr">
        <is>
          <t>Examen Teorico</t>
        </is>
      </c>
      <c r="D208" t="inlineStr">
        <is>
          <t>cuestionario</t>
        </is>
      </c>
      <c r="E208" t="inlineStr">
        <is>
          <t>07-convergencia-herramientas/04-evaluacion/examen_teorico.gift</t>
        </is>
      </c>
      <c r="F208" t="inlineStr">
        <is>
          <t>Sí</t>
        </is>
      </c>
      <c r="G208" t="inlineStr">
        <is>
          <t>Pendiente</t>
        </is>
      </c>
      <c r="H208"/>
      <c r="I208"/>
      <c r="J208"/>
      <c r="K208"/>
      <c r="L208">
        <f>IF(AND(ISNUMBER(J208),ISNUMBER(K208)),MAX(J208-K208,0),"")</f>
      </c>
      <c r="M208"/>
      <c r="N208"/>
    </row>
    <row r="209">
      <c r="A209" t="inlineStr">
        <is>
          <t>07</t>
        </is>
      </c>
      <c r="B209" t="inlineStr">
        <is>
          <t>UD7 — Convergencia de Herramientas IA</t>
        </is>
      </c>
      <c r="C209" t="inlineStr">
        <is>
          <t>Rúbrica del Proyecto final de UD7 — Convergencia de Herramientas IA</t>
        </is>
      </c>
      <c r="D209" t="inlineStr">
        <is>
          <t>guía/rúbrica</t>
        </is>
      </c>
      <c r="E209" t="inlineStr">
        <is>
          <t>07-convergencia-herramientas/04-evaluacion/rubrica_proyecto.md</t>
        </is>
      </c>
      <c r="F209" t="inlineStr">
        <is>
          <t>Sí</t>
        </is>
      </c>
      <c r="G209" t="inlineStr">
        <is>
          <t>Pendiente</t>
        </is>
      </c>
      <c r="H209"/>
      <c r="I209"/>
      <c r="J209"/>
      <c r="K209"/>
      <c r="L209">
        <f>IF(AND(ISNUMBER(J209),ISNUMBER(K209)),MAX(J209-K209,0),"")</f>
      </c>
      <c r="M209"/>
      <c r="N209"/>
    </row>
    <row r="210">
      <c r="A210" t="inlineStr">
        <is>
          <t>08</t>
        </is>
      </c>
      <c r="B210" t="inlineStr">
        <is>
          <t>08-vision-xai</t>
        </is>
      </c>
      <c r="C210" t="inlineStr">
        <is>
          <t>Bloque 81-83 – Video análisis y seguimiento de objetos</t>
        </is>
      </c>
      <c r="D210" t="inlineStr">
        <is>
          <t>guía/rúbrica</t>
        </is>
      </c>
      <c r="E210" t="inlineStr">
        <is>
          <t>08-vision-xai/03-practicas/00-guia-tracking.md</t>
        </is>
      </c>
      <c r="F210" t="inlineStr">
        <is>
          <t>Revisar</t>
        </is>
      </c>
      <c r="G210" t="inlineStr">
        <is>
          <t>Pendiente</t>
        </is>
      </c>
      <c r="H210"/>
      <c r="I210"/>
      <c r="J210"/>
      <c r="K210"/>
      <c r="L210">
        <f>IF(AND(ISNUMBER(J210),ISNUMBER(K210)),MAX(J210-K210,0),"")</f>
      </c>
      <c r="M210"/>
      <c r="N210"/>
    </row>
    <row r="211">
      <c r="A211" t="inlineStr">
        <is>
          <t>08</t>
        </is>
      </c>
      <c r="B211" t="inlineStr">
        <is>
          <t>08-vision-xai</t>
        </is>
      </c>
      <c r="C211" t="inlineStr">
        <is>
          <t>Bloque 84-86 – Explicabilidad en modelos de Visión y NLP</t>
        </is>
      </c>
      <c r="D211" t="inlineStr">
        <is>
          <t>guía/rúbrica</t>
        </is>
      </c>
      <c r="E211" t="inlineStr">
        <is>
          <t>08-vision-xai/03-practicas/00-guia-xai.md</t>
        </is>
      </c>
      <c r="F211" t="inlineStr">
        <is>
          <t>Revisar</t>
        </is>
      </c>
      <c r="G211" t="inlineStr">
        <is>
          <t>Pendiente</t>
        </is>
      </c>
      <c r="H211"/>
      <c r="I211"/>
      <c r="J211"/>
      <c r="K211"/>
      <c r="L211">
        <f>IF(AND(ISNUMBER(J211),ISNUMBER(K211)),MAX(J211-K211,0),"")</f>
      </c>
      <c r="M211"/>
      <c r="N211"/>
    </row>
    <row r="212">
      <c r="A212" t="inlineStr">
        <is>
          <t>08</t>
        </is>
      </c>
      <c r="B212" t="inlineStr">
        <is>
          <t>08-vision-xai</t>
        </is>
      </c>
      <c r="C212" t="inlineStr">
        <is>
          <t>Yolov8 Tracking</t>
        </is>
      </c>
      <c r="D212" t="inlineStr">
        <is>
          <t>notebook</t>
        </is>
      </c>
      <c r="E212" t="inlineStr">
        <is>
          <t>08-vision-xai/03-practicas/81_yolov8_tracking.ipynb</t>
        </is>
      </c>
      <c r="F212" t="inlineStr">
        <is>
          <t>Revisar</t>
        </is>
      </c>
      <c r="G212" t="inlineStr">
        <is>
          <t>Pendiente</t>
        </is>
      </c>
      <c r="H212"/>
      <c r="I212"/>
      <c r="J212"/>
      <c r="K212"/>
      <c r="L212">
        <f>IF(AND(ISNUMBER(J212),ISNUMBER(K212)),MAX(J212-K212,0),"")</f>
      </c>
      <c r="M212"/>
      <c r="N212"/>
    </row>
    <row r="213">
      <c r="A213" t="inlineStr">
        <is>
          <t>08</t>
        </is>
      </c>
      <c r="B213" t="inlineStr">
        <is>
          <t>08-vision-xai</t>
        </is>
      </c>
      <c r="C213" t="inlineStr">
        <is>
          <t>Yolov8 Tracking SOLUCIONES</t>
        </is>
      </c>
      <c r="D213" t="inlineStr">
        <is>
          <t>notebook</t>
        </is>
      </c>
      <c r="E213" t="inlineStr">
        <is>
          <t>08-vision-xai/03-practicas/81_yolov8_tracking_SOLUCIONES.ipynb</t>
        </is>
      </c>
      <c r="F213" t="inlineStr">
        <is>
          <t>Revisar</t>
        </is>
      </c>
      <c r="G213" t="inlineStr">
        <is>
          <t>Pendiente</t>
        </is>
      </c>
      <c r="H213"/>
      <c r="I213"/>
      <c r="J213"/>
      <c r="K213"/>
      <c r="L213">
        <f>IF(AND(ISNUMBER(J213),ISNUMBER(K213)),MAX(J213-K213,0),"")</f>
      </c>
      <c r="M213"/>
      <c r="N213"/>
    </row>
    <row r="214">
      <c r="A214" t="inlineStr">
        <is>
          <t>08</t>
        </is>
      </c>
      <c r="B214" t="inlineStr">
        <is>
          <t>08-vision-xai</t>
        </is>
      </c>
      <c r="C214" t="inlineStr">
        <is>
          <t>Yolov8 Tracking SOLUCIONES TESTS</t>
        </is>
      </c>
      <c r="D214" t="inlineStr">
        <is>
          <t>notebook</t>
        </is>
      </c>
      <c r="E214" t="inlineStr">
        <is>
          <t>08-vision-xai/03-practicas/81_yolov8_tracking_SOLUCIONES_TESTS.ipynb</t>
        </is>
      </c>
      <c r="F214" t="inlineStr">
        <is>
          <t>Revisar</t>
        </is>
      </c>
      <c r="G214" t="inlineStr">
        <is>
          <t>Pendiente</t>
        </is>
      </c>
      <c r="H214"/>
      <c r="I214"/>
      <c r="J214"/>
      <c r="K214"/>
      <c r="L214">
        <f>IF(AND(ISNUMBER(J214),ISNUMBER(K214)),MAX(J214-K214,0),"")</f>
      </c>
      <c r="M214"/>
      <c r="N214"/>
    </row>
    <row r="215">
      <c r="A215" t="inlineStr">
        <is>
          <t>08</t>
        </is>
      </c>
      <c r="B215" t="inlineStr">
        <is>
          <t>08-vision-xai</t>
        </is>
      </c>
      <c r="C215" t="inlineStr">
        <is>
          <t>Sort Tracking</t>
        </is>
      </c>
      <c r="D215" t="inlineStr">
        <is>
          <t>notebook</t>
        </is>
      </c>
      <c r="E215" t="inlineStr">
        <is>
          <t>08-vision-xai/03-practicas/82_sort_tracking.ipynb</t>
        </is>
      </c>
      <c r="F215" t="inlineStr">
        <is>
          <t>Revisar</t>
        </is>
      </c>
      <c r="G215" t="inlineStr">
        <is>
          <t>Pendiente</t>
        </is>
      </c>
      <c r="H215"/>
      <c r="I215"/>
      <c r="J215"/>
      <c r="K215"/>
      <c r="L215">
        <f>IF(AND(ISNUMBER(J215),ISNUMBER(K215)),MAX(J215-K215,0),"")</f>
      </c>
      <c r="M215"/>
      <c r="N215"/>
    </row>
    <row r="216">
      <c r="A216" t="inlineStr">
        <is>
          <t>08</t>
        </is>
      </c>
      <c r="B216" t="inlineStr">
        <is>
          <t>08-vision-xai</t>
        </is>
      </c>
      <c r="C216" t="inlineStr">
        <is>
          <t>Sort Tracking SOLUCIONES</t>
        </is>
      </c>
      <c r="D216" t="inlineStr">
        <is>
          <t>notebook</t>
        </is>
      </c>
      <c r="E216" t="inlineStr">
        <is>
          <t>08-vision-xai/03-practicas/82_sort_tracking_SOLUCIONES.ipynb</t>
        </is>
      </c>
      <c r="F216" t="inlineStr">
        <is>
          <t>Revisar</t>
        </is>
      </c>
      <c r="G216" t="inlineStr">
        <is>
          <t>Pendiente</t>
        </is>
      </c>
      <c r="H216"/>
      <c r="I216"/>
      <c r="J216"/>
      <c r="K216"/>
      <c r="L216">
        <f>IF(AND(ISNUMBER(J216),ISNUMBER(K216)),MAX(J216-K216,0),"")</f>
      </c>
      <c r="M216"/>
      <c r="N216"/>
    </row>
    <row r="217">
      <c r="A217" t="inlineStr">
        <is>
          <t>08</t>
        </is>
      </c>
      <c r="B217" t="inlineStr">
        <is>
          <t>08-vision-xai</t>
        </is>
      </c>
      <c r="C217" t="inlineStr">
        <is>
          <t>Sort Tracking SOLUCIONES TESTS</t>
        </is>
      </c>
      <c r="D217" t="inlineStr">
        <is>
          <t>notebook</t>
        </is>
      </c>
      <c r="E217" t="inlineStr">
        <is>
          <t>08-vision-xai/03-practicas/82_sort_tracking_SOLUCIONES_TESTS.ipynb</t>
        </is>
      </c>
      <c r="F217" t="inlineStr">
        <is>
          <t>Revisar</t>
        </is>
      </c>
      <c r="G217" t="inlineStr">
        <is>
          <t>Pendiente</t>
        </is>
      </c>
      <c r="H217"/>
      <c r="I217"/>
      <c r="J217"/>
      <c r="K217"/>
      <c r="L217">
        <f>IF(AND(ISNUMBER(J217),ISNUMBER(K217)),MAX(J217-K217,0),"")</f>
      </c>
      <c r="M217"/>
      <c r="N217"/>
    </row>
    <row r="218">
      <c r="A218" t="inlineStr">
        <is>
          <t>08</t>
        </is>
      </c>
      <c r="B218" t="inlineStr">
        <is>
          <t>08-vision-xai</t>
        </is>
      </c>
      <c r="C218" t="inlineStr">
        <is>
          <t>Metrics Tracking</t>
        </is>
      </c>
      <c r="D218" t="inlineStr">
        <is>
          <t>notebook</t>
        </is>
      </c>
      <c r="E218" t="inlineStr">
        <is>
          <t>08-vision-xai/03-practicas/83_metrics_tracking.ipynb</t>
        </is>
      </c>
      <c r="F218" t="inlineStr">
        <is>
          <t>Revisar</t>
        </is>
      </c>
      <c r="G218" t="inlineStr">
        <is>
          <t>Pendiente</t>
        </is>
      </c>
      <c r="H218"/>
      <c r="I218"/>
      <c r="J218"/>
      <c r="K218"/>
      <c r="L218">
        <f>IF(AND(ISNUMBER(J218),ISNUMBER(K218)),MAX(J218-K218,0),"")</f>
      </c>
      <c r="M218"/>
      <c r="N218"/>
    </row>
    <row r="219">
      <c r="A219" t="inlineStr">
        <is>
          <t>08</t>
        </is>
      </c>
      <c r="B219" t="inlineStr">
        <is>
          <t>08-vision-xai</t>
        </is>
      </c>
      <c r="C219" t="inlineStr">
        <is>
          <t>Metrics Tracking SOLUCIONES</t>
        </is>
      </c>
      <c r="D219" t="inlineStr">
        <is>
          <t>notebook</t>
        </is>
      </c>
      <c r="E219" t="inlineStr">
        <is>
          <t>08-vision-xai/03-practicas/83_metrics_tracking_SOLUCIONES.ipynb</t>
        </is>
      </c>
      <c r="F219" t="inlineStr">
        <is>
          <t>Revisar</t>
        </is>
      </c>
      <c r="G219" t="inlineStr">
        <is>
          <t>Pendiente</t>
        </is>
      </c>
      <c r="H219"/>
      <c r="I219"/>
      <c r="J219"/>
      <c r="K219"/>
      <c r="L219">
        <f>IF(AND(ISNUMBER(J219),ISNUMBER(K219)),MAX(J219-K219,0),"")</f>
      </c>
      <c r="M219"/>
      <c r="N219"/>
    </row>
    <row r="220">
      <c r="A220" t="inlineStr">
        <is>
          <t>08</t>
        </is>
      </c>
      <c r="B220" t="inlineStr">
        <is>
          <t>08-vision-xai</t>
        </is>
      </c>
      <c r="C220" t="inlineStr">
        <is>
          <t>Metrics Tracking SOLUCIONES TESTS</t>
        </is>
      </c>
      <c r="D220" t="inlineStr">
        <is>
          <t>notebook</t>
        </is>
      </c>
      <c r="E220" t="inlineStr">
        <is>
          <t>08-vision-xai/03-practicas/83_metrics_tracking_SOLUCIONES_TESTS.ipynb</t>
        </is>
      </c>
      <c r="F220" t="inlineStr">
        <is>
          <t>Revisar</t>
        </is>
      </c>
      <c r="G220" t="inlineStr">
        <is>
          <t>Pendiente</t>
        </is>
      </c>
      <c r="H220"/>
      <c r="I220"/>
      <c r="J220"/>
      <c r="K220"/>
      <c r="L220">
        <f>IF(AND(ISNUMBER(J220),ISNUMBER(K220)),MAX(J220-K220,0),"")</f>
      </c>
      <c r="M220"/>
      <c r="N220"/>
    </row>
    <row r="221">
      <c r="A221" t="inlineStr">
        <is>
          <t>08</t>
        </is>
      </c>
      <c r="B221" t="inlineStr">
        <is>
          <t>08-vision-xai</t>
        </is>
      </c>
      <c r="C221" t="inlineStr">
        <is>
          <t>Lime Text</t>
        </is>
      </c>
      <c r="D221" t="inlineStr">
        <is>
          <t>notebook</t>
        </is>
      </c>
      <c r="E221" t="inlineStr">
        <is>
          <t>08-vision-xai/03-practicas/84_lime_text.ipynb</t>
        </is>
      </c>
      <c r="F221" t="inlineStr">
        <is>
          <t>Revisar</t>
        </is>
      </c>
      <c r="G221" t="inlineStr">
        <is>
          <t>Pendiente</t>
        </is>
      </c>
      <c r="H221"/>
      <c r="I221"/>
      <c r="J221"/>
      <c r="K221"/>
      <c r="L221">
        <f>IF(AND(ISNUMBER(J221),ISNUMBER(K221)),MAX(J221-K221,0),"")</f>
      </c>
      <c r="M221"/>
      <c r="N221"/>
    </row>
    <row r="222">
      <c r="A222" t="inlineStr">
        <is>
          <t>08</t>
        </is>
      </c>
      <c r="B222" t="inlineStr">
        <is>
          <t>08-vision-xai</t>
        </is>
      </c>
      <c r="C222" t="inlineStr">
        <is>
          <t>Lime Text SOLUCIONES</t>
        </is>
      </c>
      <c r="D222" t="inlineStr">
        <is>
          <t>notebook</t>
        </is>
      </c>
      <c r="E222" t="inlineStr">
        <is>
          <t>08-vision-xai/03-practicas/84_lime_text_SOLUCIONES.ipynb</t>
        </is>
      </c>
      <c r="F222" t="inlineStr">
        <is>
          <t>Revisar</t>
        </is>
      </c>
      <c r="G222" t="inlineStr">
        <is>
          <t>Pendiente</t>
        </is>
      </c>
      <c r="H222"/>
      <c r="I222"/>
      <c r="J222"/>
      <c r="K222"/>
      <c r="L222">
        <f>IF(AND(ISNUMBER(J222),ISNUMBER(K222)),MAX(J222-K222,0),"")</f>
      </c>
      <c r="M222"/>
      <c r="N222"/>
    </row>
    <row r="223">
      <c r="A223" t="inlineStr">
        <is>
          <t>08</t>
        </is>
      </c>
      <c r="B223" t="inlineStr">
        <is>
          <t>08-vision-xai</t>
        </is>
      </c>
      <c r="C223" t="inlineStr">
        <is>
          <t>Lime Text SOLUCIONES TESTS</t>
        </is>
      </c>
      <c r="D223" t="inlineStr">
        <is>
          <t>notebook</t>
        </is>
      </c>
      <c r="E223" t="inlineStr">
        <is>
          <t>08-vision-xai/03-practicas/84_lime_text_SOLUCIONES_TESTS.ipynb</t>
        </is>
      </c>
      <c r="F223" t="inlineStr">
        <is>
          <t>Revisar</t>
        </is>
      </c>
      <c r="G223" t="inlineStr">
        <is>
          <t>Pendiente</t>
        </is>
      </c>
      <c r="H223"/>
      <c r="I223"/>
      <c r="J223"/>
      <c r="K223"/>
      <c r="L223">
        <f>IF(AND(ISNUMBER(J223),ISNUMBER(K223)),MAX(J223-K223,0),"")</f>
      </c>
      <c r="M223"/>
      <c r="N223"/>
    </row>
    <row r="224">
      <c r="A224" t="inlineStr">
        <is>
          <t>08</t>
        </is>
      </c>
      <c r="B224" t="inlineStr">
        <is>
          <t>08-vision-xai</t>
        </is>
      </c>
      <c r="C224" t="inlineStr">
        <is>
          <t>Shap Tabular</t>
        </is>
      </c>
      <c r="D224" t="inlineStr">
        <is>
          <t>notebook</t>
        </is>
      </c>
      <c r="E224" t="inlineStr">
        <is>
          <t>08-vision-xai/03-practicas/85_shap_tabular.ipynb</t>
        </is>
      </c>
      <c r="F224" t="inlineStr">
        <is>
          <t>Revisar</t>
        </is>
      </c>
      <c r="G224" t="inlineStr">
        <is>
          <t>Pendiente</t>
        </is>
      </c>
      <c r="H224"/>
      <c r="I224"/>
      <c r="J224"/>
      <c r="K224"/>
      <c r="L224">
        <f>IF(AND(ISNUMBER(J224),ISNUMBER(K224)),MAX(J224-K224,0),"")</f>
      </c>
      <c r="M224"/>
      <c r="N224"/>
    </row>
    <row r="225">
      <c r="A225" t="inlineStr">
        <is>
          <t>08</t>
        </is>
      </c>
      <c r="B225" t="inlineStr">
        <is>
          <t>08-vision-xai</t>
        </is>
      </c>
      <c r="C225" t="inlineStr">
        <is>
          <t>Shap Tabular SOLUCIONES</t>
        </is>
      </c>
      <c r="D225" t="inlineStr">
        <is>
          <t>notebook</t>
        </is>
      </c>
      <c r="E225" t="inlineStr">
        <is>
          <t>08-vision-xai/03-practicas/85_shap_tabular_SOLUCIONES.ipynb</t>
        </is>
      </c>
      <c r="F225" t="inlineStr">
        <is>
          <t>Revisar</t>
        </is>
      </c>
      <c r="G225" t="inlineStr">
        <is>
          <t>Pendiente</t>
        </is>
      </c>
      <c r="H225"/>
      <c r="I225"/>
      <c r="J225"/>
      <c r="K225"/>
      <c r="L225">
        <f>IF(AND(ISNUMBER(J225),ISNUMBER(K225)),MAX(J225-K225,0),"")</f>
      </c>
      <c r="M225"/>
      <c r="N225"/>
    </row>
    <row r="226">
      <c r="A226" t="inlineStr">
        <is>
          <t>08</t>
        </is>
      </c>
      <c r="B226" t="inlineStr">
        <is>
          <t>08-vision-xai</t>
        </is>
      </c>
      <c r="C226" t="inlineStr">
        <is>
          <t>Shap Tabular SOLUCIONES TESTS</t>
        </is>
      </c>
      <c r="D226" t="inlineStr">
        <is>
          <t>notebook</t>
        </is>
      </c>
      <c r="E226" t="inlineStr">
        <is>
          <t>08-vision-xai/03-practicas/85_shap_tabular_SOLUCIONES_TESTS.ipynb</t>
        </is>
      </c>
      <c r="F226" t="inlineStr">
        <is>
          <t>Revisar</t>
        </is>
      </c>
      <c r="G226" t="inlineStr">
        <is>
          <t>Pendiente</t>
        </is>
      </c>
      <c r="H226"/>
      <c r="I226"/>
      <c r="J226"/>
      <c r="K226"/>
      <c r="L226">
        <f>IF(AND(ISNUMBER(J226),ISNUMBER(K226)),MAX(J226-K226,0),"")</f>
      </c>
      <c r="M226"/>
      <c r="N226"/>
    </row>
    <row r="227">
      <c r="A227" t="inlineStr">
        <is>
          <t>08</t>
        </is>
      </c>
      <c r="B227" t="inlineStr">
        <is>
          <t>08-vision-xai</t>
        </is>
      </c>
      <c r="C227" t="inlineStr">
        <is>
          <t>Gradcam Cnn</t>
        </is>
      </c>
      <c r="D227" t="inlineStr">
        <is>
          <t>notebook</t>
        </is>
      </c>
      <c r="E227" t="inlineStr">
        <is>
          <t>08-vision-xai/03-practicas/86_gradcam_cnn.ipynb</t>
        </is>
      </c>
      <c r="F227" t="inlineStr">
        <is>
          <t>Revisar</t>
        </is>
      </c>
      <c r="G227" t="inlineStr">
        <is>
          <t>Pendiente</t>
        </is>
      </c>
      <c r="H227"/>
      <c r="I227"/>
      <c r="J227"/>
      <c r="K227"/>
      <c r="L227">
        <f>IF(AND(ISNUMBER(J227),ISNUMBER(K227)),MAX(J227-K227,0),"")</f>
      </c>
      <c r="M227"/>
      <c r="N227"/>
    </row>
    <row r="228">
      <c r="A228" t="inlineStr">
        <is>
          <t>08</t>
        </is>
      </c>
      <c r="B228" t="inlineStr">
        <is>
          <t>08-vision-xai</t>
        </is>
      </c>
      <c r="C228" t="inlineStr">
        <is>
          <t>Gradcam Cnn SOLUCIONES</t>
        </is>
      </c>
      <c r="D228" t="inlineStr">
        <is>
          <t>notebook</t>
        </is>
      </c>
      <c r="E228" t="inlineStr">
        <is>
          <t>08-vision-xai/03-practicas/86_gradcam_cnn_SOLUCIONES.ipynb</t>
        </is>
      </c>
      <c r="F228" t="inlineStr">
        <is>
          <t>Revisar</t>
        </is>
      </c>
      <c r="G228" t="inlineStr">
        <is>
          <t>Pendiente</t>
        </is>
      </c>
      <c r="H228"/>
      <c r="I228"/>
      <c r="J228"/>
      <c r="K228"/>
      <c r="L228">
        <f>IF(AND(ISNUMBER(J228),ISNUMBER(K228)),MAX(J228-K228,0),"")</f>
      </c>
      <c r="M228"/>
      <c r="N228"/>
    </row>
    <row r="229">
      <c r="A229" t="inlineStr">
        <is>
          <t>08</t>
        </is>
      </c>
      <c r="B229" t="inlineStr">
        <is>
          <t>08-vision-xai</t>
        </is>
      </c>
      <c r="C229" t="inlineStr">
        <is>
          <t>Gradcam Cnn SOLUCIONES TESTS</t>
        </is>
      </c>
      <c r="D229" t="inlineStr">
        <is>
          <t>notebook</t>
        </is>
      </c>
      <c r="E229" t="inlineStr">
        <is>
          <t>08-vision-xai/03-practicas/86_gradcam_cnn_SOLUCIONES_TESTS.ipynb</t>
        </is>
      </c>
      <c r="F229" t="inlineStr">
        <is>
          <t>Revisar</t>
        </is>
      </c>
      <c r="G229" t="inlineStr">
        <is>
          <t>Pendiente</t>
        </is>
      </c>
      <c r="H229"/>
      <c r="I229"/>
      <c r="J229"/>
      <c r="K229"/>
      <c r="L229">
        <f>IF(AND(ISNUMBER(J229),ISNUMBER(K229)),MAX(J229-K229,0),"")</f>
      </c>
      <c r="M229"/>
      <c r="N229"/>
    </row>
    <row r="230">
      <c r="A230" t="inlineStr">
        <is>
          <t>08</t>
        </is>
      </c>
      <c r="B230" t="inlineStr">
        <is>
          <t>08-vision-xai</t>
        </is>
      </c>
      <c r="C230" t="inlineStr">
        <is>
          <t>CNN visionV2</t>
        </is>
      </c>
      <c r="D230" t="inlineStr">
        <is>
          <t>notebook</t>
        </is>
      </c>
      <c r="E230" t="inlineStr">
        <is>
          <t>08-vision-xai/03-practicas/modelado-notebooks-vision-ud4/CNN_visionV2.ipynb</t>
        </is>
      </c>
      <c r="F230" t="inlineStr">
        <is>
          <t>Revisar</t>
        </is>
      </c>
      <c r="G230" t="inlineStr">
        <is>
          <t>Pendiente</t>
        </is>
      </c>
      <c r="H230"/>
      <c r="I230"/>
      <c r="J230"/>
      <c r="K230"/>
      <c r="L230">
        <f>IF(AND(ISNUMBER(J230),ISNUMBER(K230)),MAX(J230-K230,0),"")</f>
      </c>
      <c r="M230"/>
      <c r="N230"/>
    </row>
    <row r="231">
      <c r="A231" t="inlineStr">
        <is>
          <t>08</t>
        </is>
      </c>
      <c r="B231" t="inlineStr">
        <is>
          <t>08-vision-xai</t>
        </is>
      </c>
      <c r="C231" t="inlineStr">
        <is>
          <t>Clasificacion Tumores ResNet18</t>
        </is>
      </c>
      <c r="D231" t="inlineStr">
        <is>
          <t>notebook</t>
        </is>
      </c>
      <c r="E231" t="inlineStr">
        <is>
          <t>08-vision-xai/03-practicas/modelado-notebooks-vision-ud4/Clasificacion_Tumores_ResNet18.ipynb</t>
        </is>
      </c>
      <c r="F231" t="inlineStr">
        <is>
          <t>Revisar</t>
        </is>
      </c>
      <c r="G231" t="inlineStr">
        <is>
          <t>Pendiente</t>
        </is>
      </c>
      <c r="H231"/>
      <c r="I231"/>
      <c r="J231"/>
      <c r="K231"/>
      <c r="L231">
        <f>IF(AND(ISNUMBER(J231),ISNUMBER(K231)),MAX(J231-K231,0),"")</f>
      </c>
      <c r="M231"/>
      <c r="N231"/>
    </row>
    <row r="232">
      <c r="A232" t="inlineStr">
        <is>
          <t>08</t>
        </is>
      </c>
      <c r="B232" t="inlineStr">
        <is>
          <t>08-vision-xai</t>
        </is>
      </c>
      <c r="C232" t="inlineStr">
        <is>
          <t>Deteccion Objetos FasterRCNN</t>
        </is>
      </c>
      <c r="D232" t="inlineStr">
        <is>
          <t>notebook</t>
        </is>
      </c>
      <c r="E232" t="inlineStr">
        <is>
          <t>08-vision-xai/03-practicas/modelado-notebooks-vision-ud4/Deteccion_Objetos_FasterRCNN.ipynb</t>
        </is>
      </c>
      <c r="F232" t="inlineStr">
        <is>
          <t>Revisar</t>
        </is>
      </c>
      <c r="G232" t="inlineStr">
        <is>
          <t>Pendiente</t>
        </is>
      </c>
      <c r="H232"/>
      <c r="I232"/>
      <c r="J232"/>
      <c r="K232"/>
      <c r="L232">
        <f>IF(AND(ISNUMBER(J232),ISNUMBER(K232)),MAX(J232-K232,0),"")</f>
      </c>
      <c r="M232"/>
      <c r="N232"/>
    </row>
    <row r="233">
      <c r="A233" t="inlineStr">
        <is>
          <t>08</t>
        </is>
      </c>
      <c r="B233" t="inlineStr">
        <is>
          <t>08-vision-xai</t>
        </is>
      </c>
      <c r="C233" t="inlineStr">
        <is>
          <t>Deteccion Objetos FasterRCNN Lote</t>
        </is>
      </c>
      <c r="D233" t="inlineStr">
        <is>
          <t>notebook</t>
        </is>
      </c>
      <c r="E233" t="inlineStr">
        <is>
          <t>08-vision-xai/03-practicas/modelado-notebooks-vision-ud4/Deteccion_Objetos_FasterRCNN_Lote.ipynb</t>
        </is>
      </c>
      <c r="F233" t="inlineStr">
        <is>
          <t>Revisar</t>
        </is>
      </c>
      <c r="G233" t="inlineStr">
        <is>
          <t>Pendiente</t>
        </is>
      </c>
      <c r="H233"/>
      <c r="I233"/>
      <c r="J233"/>
      <c r="K233"/>
      <c r="L233">
        <f>IF(AND(ISNUMBER(J233),ISNUMBER(K233)),MAX(J233-K233,0),"")</f>
      </c>
      <c r="M233"/>
      <c r="N233"/>
    </row>
    <row r="234">
      <c r="A234" t="inlineStr">
        <is>
          <t>08</t>
        </is>
      </c>
      <c r="B234" t="inlineStr">
        <is>
          <t>08-vision-xai</t>
        </is>
      </c>
      <c r="C234" t="inlineStr">
        <is>
          <t>Tf Df Imgs</t>
        </is>
      </c>
      <c r="D234" t="inlineStr">
        <is>
          <t>notebook</t>
        </is>
      </c>
      <c r="E234" t="inlineStr">
        <is>
          <t>08-vision-xai/03-practicas/modelado-notebooks-vision-ud4/tf_df_imgs.ipynb</t>
        </is>
      </c>
      <c r="F234" t="inlineStr">
        <is>
          <t>Revisar</t>
        </is>
      </c>
      <c r="G234" t="inlineStr">
        <is>
          <t>Pendiente</t>
        </is>
      </c>
      <c r="H234"/>
      <c r="I234"/>
      <c r="J234"/>
      <c r="K234"/>
      <c r="L234">
        <f>IF(AND(ISNUMBER(J234),ISNUMBER(K234)),MAX(J234-K234,0),"")</f>
      </c>
      <c r="M234"/>
      <c r="N234"/>
    </row>
    <row r="235">
      <c r="A235" t="inlineStr">
        <is>
          <t>08</t>
        </is>
      </c>
      <c r="B235" t="inlineStr">
        <is>
          <t>08-vision-xai</t>
        </is>
      </c>
      <c r="C235" t="inlineStr">
        <is>
          <t>layersReuse</t>
        </is>
      </c>
      <c r="D235" t="inlineStr">
        <is>
          <t>notebook</t>
        </is>
      </c>
      <c r="E235" t="inlineStr">
        <is>
          <t>08-vision-xai/03-practicas/modelado-notebooks-vision-ud4/transfer-learning/layersReuse.ipynb</t>
        </is>
      </c>
      <c r="F235" t="inlineStr">
        <is>
          <t>Revisar</t>
        </is>
      </c>
      <c r="G235" t="inlineStr">
        <is>
          <t>Pendiente</t>
        </is>
      </c>
      <c r="H235"/>
      <c r="I235"/>
      <c r="J235"/>
      <c r="K235"/>
      <c r="L235">
        <f>IF(AND(ISNUMBER(J235),ISNUMBER(K235)),MAX(J235-K235,0),"")</f>
      </c>
      <c r="M235"/>
      <c r="N235"/>
    </row>
    <row r="236">
      <c r="A236" t="inlineStr">
        <is>
          <t>08</t>
        </is>
      </c>
      <c r="B236" t="inlineStr">
        <is>
          <t>08-vision-xai</t>
        </is>
      </c>
      <c r="C236" t="inlineStr">
        <is>
          <t>CompeticiionVision DeepL</t>
        </is>
      </c>
      <c r="D236" t="inlineStr">
        <is>
          <t>guía/rúbrica</t>
        </is>
      </c>
      <c r="E236" t="inlineStr">
        <is>
          <t>08-vision-xai/03-practicas/vision-tareas-ud4/CompeticiionVision-DeepL.md</t>
        </is>
      </c>
      <c r="F236" t="inlineStr">
        <is>
          <t>Revisar</t>
        </is>
      </c>
      <c r="G236" t="inlineStr">
        <is>
          <t>Pendiente</t>
        </is>
      </c>
      <c r="H236"/>
      <c r="I236"/>
      <c r="J236"/>
      <c r="K236"/>
      <c r="L236">
        <f>IF(AND(ISNUMBER(J236),ISNUMBER(K236)),MAX(J236-K236,0),"")</f>
      </c>
      <c r="M236"/>
      <c r="N236"/>
    </row>
    <row r="237">
      <c r="A237" t="inlineStr">
        <is>
          <t>08</t>
        </is>
      </c>
      <c r="B237" t="inlineStr">
        <is>
          <t>08-vision-xai</t>
        </is>
      </c>
      <c r="C237" t="inlineStr">
        <is>
          <t>Entrega 1 — Mini-tareas de Visión por Computador</t>
        </is>
      </c>
      <c r="D237" t="inlineStr">
        <is>
          <t>guía/rúbrica</t>
        </is>
      </c>
      <c r="E237" t="inlineStr">
        <is>
          <t>08-vision-xai/03-practicas/vision-tareas-ud4/Vision_ordenador_entrega_Clase1.md</t>
        </is>
      </c>
      <c r="F237" t="inlineStr">
        <is>
          <t>Revisar</t>
        </is>
      </c>
      <c r="G237" t="inlineStr">
        <is>
          <t>Pendiente</t>
        </is>
      </c>
      <c r="H237"/>
      <c r="I237"/>
      <c r="J237"/>
      <c r="K237"/>
      <c r="L237">
        <f>IF(AND(ISNUMBER(J237),ISNUMBER(K237)),MAX(J237-K237,0),"")</f>
      </c>
      <c r="M237"/>
      <c r="N237"/>
    </row>
    <row r="238">
      <c r="A238" t="inlineStr">
        <is>
          <t>08</t>
        </is>
      </c>
      <c r="B238" t="inlineStr">
        <is>
          <t>08-vision-xai</t>
        </is>
      </c>
      <c r="C238" t="inlineStr">
        <is>
          <t>Challenge MuffinVS Chihuahua</t>
        </is>
      </c>
      <c r="D238" t="inlineStr">
        <is>
          <t>guía/rúbrica</t>
        </is>
      </c>
      <c r="E238" t="inlineStr">
        <is>
          <t>08-vision-xai/03-practicas/vision-tareas-ud4/chihuahua_vs_muffin_challenge_pack/Challenge_MuffinVS_Chihuahua.md</t>
        </is>
      </c>
      <c r="F238" t="inlineStr">
        <is>
          <t>Revisar</t>
        </is>
      </c>
      <c r="G238" t="inlineStr">
        <is>
          <t>Pendiente</t>
        </is>
      </c>
      <c r="H238"/>
      <c r="I238"/>
      <c r="J238"/>
      <c r="K238"/>
      <c r="L238">
        <f>IF(AND(ISNUMBER(J238),ISNUMBER(K238)),MAX(J238-K238,0),"")</f>
      </c>
      <c r="M238"/>
      <c r="N238"/>
    </row>
    <row r="239">
      <c r="A239" t="inlineStr">
        <is>
          <t>08</t>
        </is>
      </c>
      <c r="B239" t="inlineStr">
        <is>
          <t>08-vision-xai</t>
        </is>
      </c>
      <c r="C239" t="inlineStr">
        <is>
          <t>Documento de Entrega — Vision Challenge</t>
        </is>
      </c>
      <c r="D239" t="inlineStr">
        <is>
          <t>guía/rúbrica</t>
        </is>
      </c>
      <c r="E239" t="inlineStr">
        <is>
          <t>08-vision-xai/03-practicas/vision-tareas-ud4/chihuahua_vs_muffin_challenge_pack/Muffin_vs_Chihuahua_Entrega.md</t>
        </is>
      </c>
      <c r="F239" t="inlineStr">
        <is>
          <t>Revisar</t>
        </is>
      </c>
      <c r="G239" t="inlineStr">
        <is>
          <t>Pendiente</t>
        </is>
      </c>
      <c r="H239"/>
      <c r="I239"/>
      <c r="J239"/>
      <c r="K239"/>
      <c r="L239">
        <f>IF(AND(ISNUMBER(J239),ISNUMBER(K239)),MAX(J239-K239,0),"")</f>
      </c>
      <c r="M239"/>
      <c r="N239"/>
    </row>
    <row r="240">
      <c r="A240" t="inlineStr">
        <is>
          <t>08</t>
        </is>
      </c>
      <c r="B240" t="inlineStr">
        <is>
          <t>08-vision-xai</t>
        </is>
      </c>
      <c r="C240" t="inlineStr">
        <is>
          <t>IA Vision Challenge 1 — Chihuahua vs Muffin</t>
        </is>
      </c>
      <c r="D240" t="inlineStr">
        <is>
          <t>guía/rúbrica</t>
        </is>
      </c>
      <c r="E240" t="inlineStr">
        <is>
          <t>08-vision-xai/03-practicas/vision-tareas-ud4/chihuahua_vs_muffin_challenge_pack/enunciado_chihuahua_vs_muffin.md</t>
        </is>
      </c>
      <c r="F240" t="inlineStr">
        <is>
          <t>Revisar</t>
        </is>
      </c>
      <c r="G240" t="inlineStr">
        <is>
          <t>Pendiente</t>
        </is>
      </c>
      <c r="H240"/>
      <c r="I240"/>
      <c r="J240"/>
      <c r="K240"/>
      <c r="L240">
        <f>IF(AND(ISNUMBER(J240),ISNUMBER(K240)),MAX(J240-K240,0),"")</f>
      </c>
      <c r="M240"/>
      <c r="N240"/>
    </row>
    <row r="241">
      <c r="A241" t="inlineStr">
        <is>
          <t>08</t>
        </is>
      </c>
      <c r="B241" t="inlineStr">
        <is>
          <t>08-vision-xai</t>
        </is>
      </c>
      <c r="C241" t="inlineStr">
        <is>
          <t>Leaderboard</t>
        </is>
      </c>
      <c r="D241" t="inlineStr">
        <is>
          <t>script</t>
        </is>
      </c>
      <c r="E241" t="inlineStr">
        <is>
          <t>08-vision-xai/03-practicas/vision-tareas-ud4/chihuahua_vs_muffin_challenge_pack/leaderboard.py</t>
        </is>
      </c>
      <c r="F241" t="inlineStr">
        <is>
          <t>Revisar</t>
        </is>
      </c>
      <c r="G241" t="inlineStr">
        <is>
          <t>Pendiente</t>
        </is>
      </c>
      <c r="H241"/>
      <c r="I241"/>
      <c r="J241"/>
      <c r="K241"/>
      <c r="L241">
        <f>IF(AND(ISNUMBER(J241),ISNUMBER(K241)),MAX(J241-K241,0),"")</f>
      </c>
      <c r="M241"/>
      <c r="N241"/>
    </row>
    <row r="242">
      <c r="A242" t="inlineStr">
        <is>
          <t>08</t>
        </is>
      </c>
      <c r="B242" t="inlineStr">
        <is>
          <t>08-vision-xai</t>
        </is>
      </c>
      <c r="C242" t="inlineStr">
        <is>
          <t>Tres niveles de dificultad para el challenge</t>
        </is>
      </c>
      <c r="D242" t="inlineStr">
        <is>
          <t>guía/rúbrica</t>
        </is>
      </c>
      <c r="E242" t="inlineStr">
        <is>
          <t>08-vision-xai/03-practicas/vision-tareas-ud4/chihuahua_vs_muffin_challenge_pack/niveles_dificultad.md</t>
        </is>
      </c>
      <c r="F242" t="inlineStr">
        <is>
          <t>Revisar</t>
        </is>
      </c>
      <c r="G242" t="inlineStr">
        <is>
          <t>Pendiente</t>
        </is>
      </c>
      <c r="H242"/>
      <c r="I242"/>
      <c r="J242"/>
      <c r="K242"/>
      <c r="L242">
        <f>IF(AND(ISNUMBER(J242),ISNUMBER(K242)),MAX(J242-K242,0),"")</f>
      </c>
      <c r="M242"/>
      <c r="N242"/>
    </row>
    <row r="243">
      <c r="A243" t="inlineStr">
        <is>
          <t>08</t>
        </is>
      </c>
      <c r="B243" t="inlineStr">
        <is>
          <t>08-vision-xai</t>
        </is>
      </c>
      <c r="C243" t="inlineStr">
        <is>
          <t>Notebook Base Chihuahua Vs Muffin</t>
        </is>
      </c>
      <c r="D243" t="inlineStr">
        <is>
          <t>notebook</t>
        </is>
      </c>
      <c r="E243" t="inlineStr">
        <is>
          <t>08-vision-xai/03-practicas/vision-tareas-ud4/chihuahua_vs_muffin_challenge_pack/notebook_base_chihuahua_vs_muffin.ipynb</t>
        </is>
      </c>
      <c r="F243" t="inlineStr">
        <is>
          <t>Revisar</t>
        </is>
      </c>
      <c r="G243" t="inlineStr">
        <is>
          <t>Pendiente</t>
        </is>
      </c>
      <c r="H243"/>
      <c r="I243"/>
      <c r="J243"/>
      <c r="K243"/>
      <c r="L243">
        <f>IF(AND(ISNUMBER(J243),ISNUMBER(K243)),MAX(J243-K243,0),"")</f>
      </c>
      <c r="M243"/>
      <c r="N243"/>
    </row>
    <row r="244">
      <c r="A244" t="inlineStr">
        <is>
          <t>08</t>
        </is>
      </c>
      <c r="B244" t="inlineStr">
        <is>
          <t>08-vision-xai</t>
        </is>
      </c>
      <c r="C244" t="inlineStr">
        <is>
          <t>Propuesta de duración del challenge</t>
        </is>
      </c>
      <c r="D244" t="inlineStr">
        <is>
          <t>guía/rúbrica</t>
        </is>
      </c>
      <c r="E244" t="inlineStr">
        <is>
          <t>08-vision-xai/03-practicas/vision-tareas-ud4/chihuahua_vs_muffin_challenge_pack/propuesta_duracion.md</t>
        </is>
      </c>
      <c r="F244" t="inlineStr">
        <is>
          <t>Revisar</t>
        </is>
      </c>
      <c r="G244" t="inlineStr">
        <is>
          <t>Pendiente</t>
        </is>
      </c>
      <c r="H244"/>
      <c r="I244"/>
      <c r="J244"/>
      <c r="K244"/>
      <c r="L244">
        <f>IF(AND(ISNUMBER(J244),ISNUMBER(K244)),MAX(J244-K244,0),"")</f>
      </c>
      <c r="M244"/>
      <c r="N244"/>
    </row>
    <row r="245">
      <c r="A245" t="inlineStr">
        <is>
          <t>08</t>
        </is>
      </c>
      <c r="B245" t="inlineStr">
        <is>
          <t>08-vision-xai</t>
        </is>
      </c>
      <c r="C245" t="inlineStr">
        <is>
          <t>Rúbrica — IA Vision Challenge</t>
        </is>
      </c>
      <c r="D245" t="inlineStr">
        <is>
          <t>guía/rúbrica</t>
        </is>
      </c>
      <c r="E245" t="inlineStr">
        <is>
          <t>08-vision-xai/03-practicas/vision-tareas-ud4/chihuahua_vs_muffin_challenge_pack/rubrica_chihuahua_vs_muffin.md</t>
        </is>
      </c>
      <c r="F245" t="inlineStr">
        <is>
          <t>Revisar</t>
        </is>
      </c>
      <c r="G245" t="inlineStr">
        <is>
          <t>Pendiente</t>
        </is>
      </c>
      <c r="H245"/>
      <c r="I245"/>
      <c r="J245"/>
      <c r="K245"/>
      <c r="L245">
        <f>IF(AND(ISNUMBER(J245),ISNUMBER(K245)),MAX(J245-K245,0),"")</f>
      </c>
      <c r="M245"/>
      <c r="N245"/>
    </row>
    <row r="246">
      <c r="A246" t="inlineStr">
        <is>
          <t>08</t>
        </is>
      </c>
      <c r="B246" t="inlineStr">
        <is>
          <t>08-vision-xai</t>
        </is>
      </c>
      <c r="C246" t="inlineStr">
        <is>
          <t>Trucos de diseño para que el challenge funcione bien</t>
        </is>
      </c>
      <c r="D246" t="inlineStr">
        <is>
          <t>guía/rúbrica</t>
        </is>
      </c>
      <c r="E246" t="inlineStr">
        <is>
          <t>08-vision-xai/03-practicas/vision-tareas-ud4/chihuahua_vs_muffin_challenge_pack/trucos_docencia_challenge.md</t>
        </is>
      </c>
      <c r="F246" t="inlineStr">
        <is>
          <t>Revisar</t>
        </is>
      </c>
      <c r="G246" t="inlineStr">
        <is>
          <t>Pendiente</t>
        </is>
      </c>
      <c r="H246"/>
      <c r="I246"/>
      <c r="J246"/>
      <c r="K246"/>
      <c r="L246">
        <f>IF(AND(ISNUMBER(J246),ISNUMBER(K246)),MAX(J246-K246,0),"")</f>
      </c>
      <c r="M246"/>
      <c r="N246"/>
    </row>
    <row r="247">
      <c r="A247" t="inlineStr">
        <is>
          <t>08</t>
        </is>
      </c>
      <c r="B247" t="inlineStr">
        <is>
          <t>08-vision-xai</t>
        </is>
      </c>
      <c r="C247" t="inlineStr">
        <is>
          <t>Entrega de la práctica</t>
        </is>
      </c>
      <c r="D247" t="inlineStr">
        <is>
          <t>guía/rúbrica</t>
        </is>
      </c>
      <c r="E247" t="inlineStr">
        <is>
          <t>08-vision-xai/03-practicas/vision-tareas-ud4/fase2_transfer_learning_pack/entrega.md</t>
        </is>
      </c>
      <c r="F247" t="inlineStr">
        <is>
          <t>Revisar</t>
        </is>
      </c>
      <c r="G247" t="inlineStr">
        <is>
          <t>Pendiente</t>
        </is>
      </c>
      <c r="H247"/>
      <c r="I247"/>
      <c r="J247"/>
      <c r="K247"/>
      <c r="L247">
        <f>IF(AND(ISNUMBER(J247),ISNUMBER(K247)),MAX(J247-K247,0),"")</f>
      </c>
      <c r="M247"/>
      <c r="N247"/>
    </row>
    <row r="248">
      <c r="A248" t="inlineStr">
        <is>
          <t>08</t>
        </is>
      </c>
      <c r="B248" t="inlineStr">
        <is>
          <t>08-vision-xai</t>
        </is>
      </c>
      <c r="C248" t="inlineStr">
        <is>
          <t>Fase 2. Transfer learning para mejorar el clasificador</t>
        </is>
      </c>
      <c r="D248" t="inlineStr">
        <is>
          <t>guía/rúbrica</t>
        </is>
      </c>
      <c r="E248" t="inlineStr">
        <is>
          <t>08-vision-xai/03-practicas/vision-tareas-ud4/fase2_transfer_learning_pack/enunciado.md</t>
        </is>
      </c>
      <c r="F248" t="inlineStr">
        <is>
          <t>Revisar</t>
        </is>
      </c>
      <c r="G248" t="inlineStr">
        <is>
          <t>Pendiente</t>
        </is>
      </c>
      <c r="H248"/>
      <c r="I248"/>
      <c r="J248"/>
      <c r="K248"/>
      <c r="L248">
        <f>IF(AND(ISNUMBER(J248),ISNUMBER(K248)),MAX(J248-K248,0),"")</f>
      </c>
      <c r="M248"/>
      <c r="N248"/>
    </row>
    <row r="249">
      <c r="A249" t="inlineStr">
        <is>
          <t>08</t>
        </is>
      </c>
      <c r="B249" t="inlineStr">
        <is>
          <t>08-vision-xai</t>
        </is>
      </c>
      <c r="C249" t="inlineStr">
        <is>
          <t>Notebook Alumno Transfer Learning</t>
        </is>
      </c>
      <c r="D249" t="inlineStr">
        <is>
          <t>notebook</t>
        </is>
      </c>
      <c r="E249" t="inlineStr">
        <is>
          <t>08-vision-xai/03-practicas/vision-tareas-ud4/fase2_transfer_learning_pack/notebook_alumno_transfer_learning.ipynb</t>
        </is>
      </c>
      <c r="F249" t="inlineStr">
        <is>
          <t>Revisar</t>
        </is>
      </c>
      <c r="G249" t="inlineStr">
        <is>
          <t>Pendiente</t>
        </is>
      </c>
      <c r="H249"/>
      <c r="I249"/>
      <c r="J249"/>
      <c r="K249"/>
      <c r="L249">
        <f>IF(AND(ISNUMBER(J249),ISNUMBER(K249)),MAX(J249-K249,0),"")</f>
      </c>
      <c r="M249"/>
      <c r="N249"/>
    </row>
    <row r="250">
      <c r="A250" t="inlineStr">
        <is>
          <t>08</t>
        </is>
      </c>
      <c r="B250" t="inlineStr">
        <is>
          <t>08-vision-xai</t>
        </is>
      </c>
      <c r="C250" t="inlineStr">
        <is>
          <t>Notebook Fase2 Transfer Learning</t>
        </is>
      </c>
      <c r="D250" t="inlineStr">
        <is>
          <t>notebook</t>
        </is>
      </c>
      <c r="E250" t="inlineStr">
        <is>
          <t>08-vision-xai/03-practicas/vision-tareas-ud4/fase2_transfer_learning_pack/notebook_fase2_transfer_learning.ipynb</t>
        </is>
      </c>
      <c r="F250" t="inlineStr">
        <is>
          <t>Revisar</t>
        </is>
      </c>
      <c r="G250" t="inlineStr">
        <is>
          <t>Pendiente</t>
        </is>
      </c>
      <c r="H250"/>
      <c r="I250"/>
      <c r="J250"/>
      <c r="K250"/>
      <c r="L250">
        <f>IF(AND(ISNUMBER(J250),ISNUMBER(K250)),MAX(J250-K250,0),"")</f>
      </c>
      <c r="M250"/>
      <c r="N250"/>
    </row>
    <row r="251">
      <c r="A251" t="inlineStr">
        <is>
          <t>08</t>
        </is>
      </c>
      <c r="B251" t="inlineStr">
        <is>
          <t>08-vision-xai</t>
        </is>
      </c>
      <c r="C251" t="inlineStr">
        <is>
          <t>Rúbrica de evaluación</t>
        </is>
      </c>
      <c r="D251" t="inlineStr">
        <is>
          <t>guía/rúbrica</t>
        </is>
      </c>
      <c r="E251" t="inlineStr">
        <is>
          <t>08-vision-xai/03-practicas/vision-tareas-ud4/fase2_transfer_learning_pack/rubrica.md</t>
        </is>
      </c>
      <c r="F251" t="inlineStr">
        <is>
          <t>Revisar</t>
        </is>
      </c>
      <c r="G251" t="inlineStr">
        <is>
          <t>Pendiente</t>
        </is>
      </c>
      <c r="H251"/>
      <c r="I251"/>
      <c r="J251"/>
      <c r="K251"/>
      <c r="L251">
        <f>IF(AND(ISNUMBER(J251),ISNUMBER(K251)),MAX(J251-K251,0),"")</f>
      </c>
      <c r="M251"/>
      <c r="N251"/>
    </row>
    <row r="252">
      <c r="A252" t="inlineStr">
        <is>
          <t>08</t>
        </is>
      </c>
      <c r="B252" t="inlineStr">
        <is>
          <t>08-vision-xai</t>
        </is>
      </c>
      <c r="C252" t="inlineStr">
        <is>
          <t>Notebook Fase2 Transfer Learning Mejorado</t>
        </is>
      </c>
      <c r="D252" t="inlineStr">
        <is>
          <t>notebook</t>
        </is>
      </c>
      <c r="E252" t="inlineStr">
        <is>
          <t>08-vision-xai/03-practicas/vision-tareas-ud4/notebook_fase2_transfer_learning_mejorado.ipynb</t>
        </is>
      </c>
      <c r="F252" t="inlineStr">
        <is>
          <t>Revisar</t>
        </is>
      </c>
      <c r="G252" t="inlineStr">
        <is>
          <t>Pendiente</t>
        </is>
      </c>
      <c r="H252"/>
      <c r="I252"/>
      <c r="J252"/>
      <c r="K252"/>
      <c r="L252">
        <f>IF(AND(ISNUMBER(J252),ISNUMBER(K252)),MAX(J252-K252,0),"")</f>
      </c>
      <c r="M252"/>
      <c r="N252"/>
    </row>
    <row r="253">
      <c r="A253" t="inlineStr">
        <is>
          <t>08</t>
        </is>
      </c>
      <c r="B253" t="inlineStr">
        <is>
          <t>08-vision-xai</t>
        </is>
      </c>
      <c r="C253" t="inlineStr">
        <is>
          <t>Prepare Dataset Chihuahua Muffin</t>
        </is>
      </c>
      <c r="D253" t="inlineStr">
        <is>
          <t>script</t>
        </is>
      </c>
      <c r="E253" t="inlineStr">
        <is>
          <t>08-vision-xai/03-practicas/vision-tareas-ud4/prepare_dataset_chihuahua_muffin.py</t>
        </is>
      </c>
      <c r="F253" t="inlineStr">
        <is>
          <t>Revisar</t>
        </is>
      </c>
      <c r="G253" t="inlineStr">
        <is>
          <t>Pendiente</t>
        </is>
      </c>
      <c r="H253"/>
      <c r="I253"/>
      <c r="J253"/>
      <c r="K253"/>
      <c r="L253">
        <f>IF(AND(ISNUMBER(J253),ISNUMBER(K253)),MAX(J253-K253,0),"")</f>
      </c>
      <c r="M253"/>
      <c r="N253"/>
    </row>
    <row r="254">
      <c r="A254" t="inlineStr">
        <is>
          <t>08</t>
        </is>
      </c>
      <c r="B254" t="inlineStr">
        <is>
          <t>08-vision-xai</t>
        </is>
      </c>
      <c r="C254" t="inlineStr">
        <is>
          <t>Evaluación — UD8 Visión por Computadora y XAI</t>
        </is>
      </c>
      <c r="D254" t="inlineStr">
        <is>
          <t>guía/rúbrica</t>
        </is>
      </c>
      <c r="E254" t="inlineStr">
        <is>
          <t>08-vision-xai/04-evaluacion/README.md</t>
        </is>
      </c>
      <c r="F254" t="inlineStr">
        <is>
          <t>Sí</t>
        </is>
      </c>
      <c r="G254" t="inlineStr">
        <is>
          <t>Pendiente</t>
        </is>
      </c>
      <c r="H254"/>
      <c r="I254"/>
      <c r="J254"/>
      <c r="K254"/>
      <c r="L254">
        <f>IF(AND(ISNUMBER(J254),ISNUMBER(K254)),MAX(J254-K254,0),"")</f>
      </c>
      <c r="M254"/>
      <c r="N254"/>
    </row>
    <row r="255">
      <c r="A255" t="inlineStr">
        <is>
          <t>08</t>
        </is>
      </c>
      <c r="B255" t="inlineStr">
        <is>
          <t>08-vision-xai</t>
        </is>
      </c>
      <c r="C255" t="inlineStr">
        <is>
          <t>Checklist de entrega — UD8 Visión por Computadora y XAI</t>
        </is>
      </c>
      <c r="D255" t="inlineStr">
        <is>
          <t>guía/rúbrica</t>
        </is>
      </c>
      <c r="E255" t="inlineStr">
        <is>
          <t>08-vision-xai/04-evaluacion/checklist-entrega.md</t>
        </is>
      </c>
      <c r="F255" t="inlineStr">
        <is>
          <t>Sí</t>
        </is>
      </c>
      <c r="G255" t="inlineStr">
        <is>
          <t>Pendiente</t>
        </is>
      </c>
      <c r="H255"/>
      <c r="I255"/>
      <c r="J255"/>
      <c r="K255"/>
      <c r="L255">
        <f>IF(AND(ISNUMBER(J255),ISNUMBER(K255)),MAX(J255-K255,0),"")</f>
      </c>
      <c r="M255"/>
      <c r="N255"/>
    </row>
    <row r="256">
      <c r="A256" t="inlineStr">
        <is>
          <t>08</t>
        </is>
      </c>
      <c r="B256" t="inlineStr">
        <is>
          <t>08-vision-xai</t>
        </is>
      </c>
      <c r="C256" t="inlineStr">
        <is>
          <t>Cuestionario Vision Xai</t>
        </is>
      </c>
      <c r="D256" t="inlineStr">
        <is>
          <t>cuestionario</t>
        </is>
      </c>
      <c r="E256" t="inlineStr">
        <is>
          <t>08-vision-xai/04-evaluacion/cuestionario-vision-xai.gift</t>
        </is>
      </c>
      <c r="F256" t="inlineStr">
        <is>
          <t>Sí</t>
        </is>
      </c>
      <c r="G256" t="inlineStr">
        <is>
          <t>Pendiente</t>
        </is>
      </c>
      <c r="H256"/>
      <c r="I256"/>
      <c r="J256"/>
      <c r="K256"/>
      <c r="L256">
        <f>IF(AND(ISNUMBER(J256),ISNUMBER(K256)),MAX(J256-K256,0),"")</f>
      </c>
      <c r="M256"/>
      <c r="N256"/>
    </row>
    <row r="257">
      <c r="A257" t="inlineStr">
        <is>
          <t>08</t>
        </is>
      </c>
      <c r="B257" t="inlineStr">
        <is>
          <t>08-vision-xai</t>
        </is>
      </c>
      <c r="C257" t="inlineStr">
        <is>
          <t>Rúbrica — UD8 Visión por Computadora y XAI</t>
        </is>
      </c>
      <c r="D257" t="inlineStr">
        <is>
          <t>guía/rúbrica</t>
        </is>
      </c>
      <c r="E257" t="inlineStr">
        <is>
          <t>08-vision-xai/04-evaluacion/rubrica.md</t>
        </is>
      </c>
      <c r="F257" t="inlineStr">
        <is>
          <t>Sí</t>
        </is>
      </c>
      <c r="G257" t="inlineStr">
        <is>
          <t>Pendiente</t>
        </is>
      </c>
      <c r="H257"/>
      <c r="I257"/>
      <c r="J257"/>
      <c r="K257"/>
      <c r="L257">
        <f>IF(AND(ISNUMBER(J257),ISNUMBER(K257)),MAX(J257-K257,0),"")</f>
      </c>
      <c r="M257"/>
      <c r="N257"/>
    </row>
    <row r="258">
      <c r="A258" t="inlineStr">
        <is>
          <t>09</t>
        </is>
      </c>
      <c r="B258" t="inlineStr">
        <is>
          <t>UD9 — GPU Avanzado</t>
        </is>
      </c>
      <c r="C258" t="inlineStr">
        <is>
          <t>Proyecto Integrador GPU — Guía General</t>
        </is>
      </c>
      <c r="D258" t="inlineStr">
        <is>
          <t>guía/rúbrica</t>
        </is>
      </c>
      <c r="E258" t="inlineStr">
        <is>
          <t>09-gpu-avanzado/03-practicas/00-guia-proyecto-gpu.md</t>
        </is>
      </c>
      <c r="F258" t="inlineStr">
        <is>
          <t>Revisar</t>
        </is>
      </c>
      <c r="G258" t="inlineStr">
        <is>
          <t>Pendiente</t>
        </is>
      </c>
      <c r="H258"/>
      <c r="I258"/>
      <c r="J258"/>
      <c r="K258"/>
      <c r="L258">
        <f>IF(AND(ISNUMBER(J258),ISNUMBER(K258)),MAX(J258-K258,0),"")</f>
      </c>
      <c r="M258"/>
      <c r="N258"/>
    </row>
    <row r="259">
      <c r="A259" t="inlineStr">
        <is>
          <t>09</t>
        </is>
      </c>
      <c r="B259" t="inlineStr">
        <is>
          <t>UD9 — GPU Avanzado</t>
        </is>
      </c>
      <c r="C259" t="inlineStr">
        <is>
          <t>Project Template</t>
        </is>
      </c>
      <c r="D259" t="inlineStr">
        <is>
          <t>notebook</t>
        </is>
      </c>
      <c r="E259" t="inlineStr">
        <is>
          <t>09-gpu-avanzado/03-practicas/01_project_template.ipynb</t>
        </is>
      </c>
      <c r="F259" t="inlineStr">
        <is>
          <t>Revisar</t>
        </is>
      </c>
      <c r="G259" t="inlineStr">
        <is>
          <t>Pendiente</t>
        </is>
      </c>
      <c r="H259"/>
      <c r="I259"/>
      <c r="J259"/>
      <c r="K259"/>
      <c r="L259">
        <f>IF(AND(ISNUMBER(J259),ISNUMBER(K259)),MAX(J259-K259,0),"")</f>
      </c>
      <c r="M259"/>
      <c r="N259"/>
    </row>
    <row r="260">
      <c r="A260" t="inlineStr">
        <is>
          <t>09</t>
        </is>
      </c>
      <c r="B260" t="inlineStr">
        <is>
          <t>UD9 — GPU Avanzado</t>
        </is>
      </c>
      <c r="C260" t="inlineStr">
        <is>
          <t>Dashboard Template</t>
        </is>
      </c>
      <c r="D260" t="inlineStr">
        <is>
          <t>notebook</t>
        </is>
      </c>
      <c r="E260" t="inlineStr">
        <is>
          <t>09-gpu-avanzado/03-practicas/02_dashboard_template.ipynb</t>
        </is>
      </c>
      <c r="F260" t="inlineStr">
        <is>
          <t>Revisar</t>
        </is>
      </c>
      <c r="G260" t="inlineStr">
        <is>
          <t>Pendiente</t>
        </is>
      </c>
      <c r="H260"/>
      <c r="I260"/>
      <c r="J260"/>
      <c r="K260"/>
      <c r="L260">
        <f>IF(AND(ISNUMBER(J260),ISNUMBER(K260)),MAX(J260-K260,0),"")</f>
      </c>
      <c r="M260"/>
      <c r="N260"/>
    </row>
    <row r="261">
      <c r="A261" t="inlineStr">
        <is>
          <t>09</t>
        </is>
      </c>
      <c r="B261" t="inlineStr">
        <is>
          <t>UD9 — GPU Avanzado</t>
        </is>
      </c>
      <c r="C261" t="inlineStr">
        <is>
          <t>Pipeline Template</t>
        </is>
      </c>
      <c r="D261" t="inlineStr">
        <is>
          <t>notebook</t>
        </is>
      </c>
      <c r="E261" t="inlineStr">
        <is>
          <t>09-gpu-avanzado/03-practicas/03_pipeline_template.ipynb</t>
        </is>
      </c>
      <c r="F261" t="inlineStr">
        <is>
          <t>Revisar</t>
        </is>
      </c>
      <c r="G261" t="inlineStr">
        <is>
          <t>Pendiente</t>
        </is>
      </c>
      <c r="H261"/>
      <c r="I261"/>
      <c r="J261"/>
      <c r="K261"/>
      <c r="L261">
        <f>IF(AND(ISNUMBER(J261),ISNUMBER(K261)),MAX(J261-K261,0),"")</f>
      </c>
      <c r="M261"/>
      <c r="N261"/>
    </row>
    <row r="262">
      <c r="A262" t="inlineStr">
        <is>
          <t>09</t>
        </is>
      </c>
      <c r="B262" t="inlineStr">
        <is>
          <t>UD9 — GPU Avanzado</t>
        </is>
      </c>
      <c r="C262" t="inlineStr">
        <is>
          <t>Evaluación — UD9 GPU Avanzado</t>
        </is>
      </c>
      <c r="D262" t="inlineStr">
        <is>
          <t>guía/rúbrica</t>
        </is>
      </c>
      <c r="E262" t="inlineStr">
        <is>
          <t>09-gpu-avanzado/04-evaluacion/README.md</t>
        </is>
      </c>
      <c r="F262" t="inlineStr">
        <is>
          <t>Sí</t>
        </is>
      </c>
      <c r="G262" t="inlineStr">
        <is>
          <t>Pendiente</t>
        </is>
      </c>
      <c r="H262"/>
      <c r="I262"/>
      <c r="J262"/>
      <c r="K262"/>
      <c r="L262">
        <f>IF(AND(ISNUMBER(J262),ISNUMBER(K262)),MAX(J262-K262,0),"")</f>
      </c>
      <c r="M262"/>
      <c r="N262"/>
    </row>
    <row r="263">
      <c r="A263" t="inlineStr">
        <is>
          <t>09</t>
        </is>
      </c>
      <c r="B263" t="inlineStr">
        <is>
          <t>UD9 — GPU Avanzado</t>
        </is>
      </c>
      <c r="C263" t="inlineStr">
        <is>
          <t>Checklist de Entrega — UD9: GPU Avanzado</t>
        </is>
      </c>
      <c r="D263" t="inlineStr">
        <is>
          <t>guía/rúbrica</t>
        </is>
      </c>
      <c r="E263" t="inlineStr">
        <is>
          <t>09-gpu-avanzado/04-evaluacion/checklist-entrega.md</t>
        </is>
      </c>
      <c r="F263" t="inlineStr">
        <is>
          <t>Sí</t>
        </is>
      </c>
      <c r="G263" t="inlineStr">
        <is>
          <t>Pendiente</t>
        </is>
      </c>
      <c r="H263"/>
      <c r="I263"/>
      <c r="J263"/>
      <c r="K263"/>
      <c r="L263">
        <f>IF(AND(ISNUMBER(J263),ISNUMBER(K263)),MAX(J263-K263,0),"")</f>
      </c>
      <c r="M263"/>
      <c r="N263"/>
    </row>
    <row r="264">
      <c r="A264" t="inlineStr">
        <is>
          <t>09</t>
        </is>
      </c>
      <c r="B264" t="inlineStr">
        <is>
          <t>UD9 — GPU Avanzado</t>
        </is>
      </c>
      <c r="C264" t="inlineStr">
        <is>
          <t>Cuestionario Rapids Jax</t>
        </is>
      </c>
      <c r="D264" t="inlineStr">
        <is>
          <t>cuestionario</t>
        </is>
      </c>
      <c r="E264" t="inlineStr">
        <is>
          <t>09-gpu-avanzado/04-evaluacion/cuestionario_rapids_jax.gift</t>
        </is>
      </c>
      <c r="F264" t="inlineStr">
        <is>
          <t>Sí</t>
        </is>
      </c>
      <c r="G264" t="inlineStr">
        <is>
          <t>Pendiente</t>
        </is>
      </c>
      <c r="H264"/>
      <c r="I264"/>
      <c r="J264"/>
      <c r="K264"/>
      <c r="L264">
        <f>IF(AND(ISNUMBER(J264),ISNUMBER(K264)),MAX(J264-K264,0),"")</f>
      </c>
      <c r="M264"/>
      <c r="N264"/>
    </row>
    <row r="265">
      <c r="A265" t="inlineStr">
        <is>
          <t>09</t>
        </is>
      </c>
      <c r="B265" t="inlineStr">
        <is>
          <t>UD9 — GPU Avanzado</t>
        </is>
      </c>
      <c r="C265" t="inlineStr">
        <is>
          <t>Rúbrica de Evaluación — UD9: GPU Avanzado</t>
        </is>
      </c>
      <c r="D265" t="inlineStr">
        <is>
          <t>guía/rúbrica</t>
        </is>
      </c>
      <c r="E265" t="inlineStr">
        <is>
          <t>09-gpu-avanzado/04-evaluacion/rubrica.md</t>
        </is>
      </c>
      <c r="F265" t="inlineStr">
        <is>
          <t>Sí</t>
        </is>
      </c>
      <c r="G265" t="inlineStr">
        <is>
          <t>Pendiente</t>
        </is>
      </c>
      <c r="H265"/>
      <c r="I265"/>
      <c r="J265"/>
      <c r="K265"/>
      <c r="L265">
        <f>IF(AND(ISNUMBER(J265),ISNUMBER(K265)),MAX(J265-K265,0),"")</f>
      </c>
      <c r="M265"/>
      <c r="N265"/>
    </row>
    <row r="266">
      <c r="A266" t="inlineStr">
        <is>
          <t>10</t>
        </is>
      </c>
      <c r="B266" t="inlineStr">
        <is>
          <t>10-series-temporales</t>
        </is>
      </c>
      <c r="C266" t="inlineStr">
        <is>
          <t>RNN SeriesTemporales</t>
        </is>
      </c>
      <c r="D266" t="inlineStr">
        <is>
          <t>notebook</t>
        </is>
      </c>
      <c r="E266" t="inlineStr">
        <is>
          <t>10-series-temporales/03-practicas/modelado-notebooks-series-ud4/RNN_SeriesTemporales.ipynb</t>
        </is>
      </c>
      <c r="F266" t="inlineStr">
        <is>
          <t>Revisar</t>
        </is>
      </c>
      <c r="G266" t="inlineStr">
        <is>
          <t>Pendiente</t>
        </is>
      </c>
      <c r="H266"/>
      <c r="I266"/>
      <c r="J266"/>
      <c r="K266"/>
      <c r="L266">
        <f>IF(AND(ISNUMBER(J266),ISNUMBER(K266)),MAX(J266-K266,0),"")</f>
      </c>
      <c r="M266"/>
      <c r="N266"/>
    </row>
    <row r="267">
      <c r="A267" t="inlineStr">
        <is>
          <t>10</t>
        </is>
      </c>
      <c r="B267" t="inlineStr">
        <is>
          <t>10-series-temporales</t>
        </is>
      </c>
      <c r="C267" t="inlineStr">
        <is>
          <t>Ampliar Notebook 02</t>
        </is>
      </c>
      <c r="D267" t="inlineStr">
        <is>
          <t>script</t>
        </is>
      </c>
      <c r="E267" t="inlineStr">
        <is>
          <t>10-series-temporales/03-practicas/scripts/ampliar_notebook_02.py</t>
        </is>
      </c>
      <c r="F267" t="inlineStr">
        <is>
          <t>Revisar</t>
        </is>
      </c>
      <c r="G267" t="inlineStr">
        <is>
          <t>Pendiente</t>
        </is>
      </c>
      <c r="H267"/>
      <c r="I267"/>
      <c r="J267"/>
      <c r="K267"/>
      <c r="L267">
        <f>IF(AND(ISNUMBER(J267),ISNUMBER(K267)),MAX(J267-K267,0),"")</f>
      </c>
      <c r="M267"/>
      <c r="N267"/>
    </row>
    <row r="268">
      <c r="A268" t="inlineStr">
        <is>
          <t>10</t>
        </is>
      </c>
      <c r="B268" t="inlineStr">
        <is>
          <t>10-series-temporales</t>
        </is>
      </c>
      <c r="C268" t="inlineStr">
        <is>
          <t>Crear Notebooks Taller</t>
        </is>
      </c>
      <c r="D268" t="inlineStr">
        <is>
          <t>script</t>
        </is>
      </c>
      <c r="E268" t="inlineStr">
        <is>
          <t>10-series-temporales/03-practicas/scripts/crear_notebooks_taller.py</t>
        </is>
      </c>
      <c r="F268" t="inlineStr">
        <is>
          <t>Revisar</t>
        </is>
      </c>
      <c r="G268" t="inlineStr">
        <is>
          <t>Pendiente</t>
        </is>
      </c>
      <c r="H268"/>
      <c r="I268"/>
      <c r="J268"/>
      <c r="K268"/>
      <c r="L268">
        <f>IF(AND(ISNUMBER(J268),ISNUMBER(K268)),MAX(J268-K268,0),"")</f>
      </c>
      <c r="M268"/>
      <c r="N268"/>
    </row>
    <row r="269">
      <c r="A269" t="inlineStr">
        <is>
          <t>10</t>
        </is>
      </c>
      <c r="B269" t="inlineStr">
        <is>
          <t>10-series-temporales</t>
        </is>
      </c>
      <c r="C269" t="inlineStr">
        <is>
          <t>Generar Datos Demo</t>
        </is>
      </c>
      <c r="D269" t="inlineStr">
        <is>
          <t>script</t>
        </is>
      </c>
      <c r="E269" t="inlineStr">
        <is>
          <t>10-series-temporales/03-practicas/scripts/generar_datos_demo.py</t>
        </is>
      </c>
      <c r="F269" t="inlineStr">
        <is>
          <t>Revisar</t>
        </is>
      </c>
      <c r="G269" t="inlineStr">
        <is>
          <t>Pendiente</t>
        </is>
      </c>
      <c r="H269"/>
      <c r="I269"/>
      <c r="J269"/>
      <c r="K269"/>
      <c r="L269">
        <f>IF(AND(ISNUMBER(J269),ISNUMBER(K269)),MAX(J269-K269,0),"")</f>
      </c>
      <c r="M269"/>
      <c r="N269"/>
    </row>
    <row r="270">
      <c r="A270" t="inlineStr">
        <is>
          <t>10</t>
        </is>
      </c>
      <c r="B270" t="inlineStr">
        <is>
          <t>10-series-temporales</t>
        </is>
      </c>
      <c r="C270" t="inlineStr">
        <is>
          <t>Generar Datos Proyecto 07</t>
        </is>
      </c>
      <c r="D270" t="inlineStr">
        <is>
          <t>script</t>
        </is>
      </c>
      <c r="E270" t="inlineStr">
        <is>
          <t>10-series-temporales/03-practicas/scripts/generar_datos_proyecto_07.py</t>
        </is>
      </c>
      <c r="F270" t="inlineStr">
        <is>
          <t>Revisar</t>
        </is>
      </c>
      <c r="G270" t="inlineStr">
        <is>
          <t>Pendiente</t>
        </is>
      </c>
      <c r="H270"/>
      <c r="I270"/>
      <c r="J270"/>
      <c r="K270"/>
      <c r="L270">
        <f>IF(AND(ISNUMBER(J270),ISNUMBER(K270)),MAX(J270-K270,0),"")</f>
      </c>
      <c r="M270"/>
      <c r="N270"/>
    </row>
    <row r="271">
      <c r="A271" t="inlineStr">
        <is>
          <t>10</t>
        </is>
      </c>
      <c r="B271" t="inlineStr">
        <is>
          <t>10-series-temporales</t>
        </is>
      </c>
      <c r="C271" t="inlineStr">
        <is>
          <t>Init</t>
        </is>
      </c>
      <c r="D271" t="inlineStr">
        <is>
          <t>script</t>
        </is>
      </c>
      <c r="E271" t="inlineStr">
        <is>
          <t>10-series-temporales/03-practicas/src/__init__.py</t>
        </is>
      </c>
      <c r="F271" t="inlineStr">
        <is>
          <t>Revisar</t>
        </is>
      </c>
      <c r="G271" t="inlineStr">
        <is>
          <t>Pendiente</t>
        </is>
      </c>
      <c r="H271"/>
      <c r="I271"/>
      <c r="J271"/>
      <c r="K271"/>
      <c r="L271">
        <f>IF(AND(ISNUMBER(J271),ISNUMBER(K271)),MAX(J271-K271,0),"")</f>
      </c>
      <c r="M271"/>
      <c r="N271"/>
    </row>
    <row r="272">
      <c r="A272" t="inlineStr">
        <is>
          <t>10</t>
        </is>
      </c>
      <c r="B272" t="inlineStr">
        <is>
          <t>10-series-temporales</t>
        </is>
      </c>
      <c r="C272" t="inlineStr">
        <is>
          <t>Generador Consumo</t>
        </is>
      </c>
      <c r="D272" t="inlineStr">
        <is>
          <t>script</t>
        </is>
      </c>
      <c r="E272" t="inlineStr">
        <is>
          <t>10-series-temporales/03-practicas/src/generador_consumo.py</t>
        </is>
      </c>
      <c r="F272" t="inlineStr">
        <is>
          <t>Revisar</t>
        </is>
      </c>
      <c r="G272" t="inlineStr">
        <is>
          <t>Pendiente</t>
        </is>
      </c>
      <c r="H272"/>
      <c r="I272"/>
      <c r="J272"/>
      <c r="K272"/>
      <c r="L272">
        <f>IF(AND(ISNUMBER(J272),ISNUMBER(K272)),MAX(J272-K272,0),"")</f>
      </c>
      <c r="M272"/>
      <c r="N272"/>
    </row>
    <row r="273">
      <c r="A273" t="inlineStr">
        <is>
          <t>10</t>
        </is>
      </c>
      <c r="B273" t="inlineStr">
        <is>
          <t>10-series-temporales</t>
        </is>
      </c>
      <c r="C273" t="inlineStr">
        <is>
          <t>Init</t>
        </is>
      </c>
      <c r="D273" t="inlineStr">
        <is>
          <t>script</t>
        </is>
      </c>
      <c r="E273" t="inlineStr">
        <is>
          <t>10-series-temporales/03-practicas/src/series_temporales/__init__.py</t>
        </is>
      </c>
      <c r="F273" t="inlineStr">
        <is>
          <t>Revisar</t>
        </is>
      </c>
      <c r="G273" t="inlineStr">
        <is>
          <t>Pendiente</t>
        </is>
      </c>
      <c r="H273"/>
      <c r="I273"/>
      <c r="J273"/>
      <c r="K273"/>
      <c r="L273">
        <f>IF(AND(ISNUMBER(J273),ISNUMBER(K273)),MAX(J273-K273,0),"")</f>
      </c>
      <c r="M273"/>
      <c r="N273"/>
    </row>
    <row r="274">
      <c r="A274" t="inlineStr">
        <is>
          <t>10</t>
        </is>
      </c>
      <c r="B274" t="inlineStr">
        <is>
          <t>10-series-temporales</t>
        </is>
      </c>
      <c r="C274" t="inlineStr">
        <is>
          <t>Generador Consumo</t>
        </is>
      </c>
      <c r="D274" t="inlineStr">
        <is>
          <t>script</t>
        </is>
      </c>
      <c r="E274" t="inlineStr">
        <is>
          <t>10-series-temporales/03-practicas/src/series_temporales/generador_consumo.py</t>
        </is>
      </c>
      <c r="F274" t="inlineStr">
        <is>
          <t>Revisar</t>
        </is>
      </c>
      <c r="G274" t="inlineStr">
        <is>
          <t>Pendiente</t>
        </is>
      </c>
      <c r="H274"/>
      <c r="I274"/>
      <c r="J274"/>
      <c r="K274"/>
      <c r="L274">
        <f>IF(AND(ISNUMBER(J274),ISNUMBER(K274)),MAX(J274-K274,0),"")</f>
      </c>
      <c r="M274"/>
      <c r="N274"/>
    </row>
    <row r="275">
      <c r="A275" t="inlineStr">
        <is>
          <t>10</t>
        </is>
      </c>
      <c r="B275" t="inlineStr">
        <is>
          <t>10-series-temporales</t>
        </is>
      </c>
      <c r="C275" t="inlineStr">
        <is>
          <t>Evaluación — UD10 Series Temporales</t>
        </is>
      </c>
      <c r="D275" t="inlineStr">
        <is>
          <t>guía/rúbrica</t>
        </is>
      </c>
      <c r="E275" t="inlineStr">
        <is>
          <t>10-series-temporales/04-evaluacion/README.md</t>
        </is>
      </c>
      <c r="F275" t="inlineStr">
        <is>
          <t>Sí</t>
        </is>
      </c>
      <c r="G275" t="inlineStr">
        <is>
          <t>Pendiente</t>
        </is>
      </c>
      <c r="H275"/>
      <c r="I275"/>
      <c r="J275"/>
      <c r="K275"/>
      <c r="L275">
        <f>IF(AND(ISNUMBER(J275),ISNUMBER(K275)),MAX(J275-K275,0),"")</f>
      </c>
      <c r="M275"/>
      <c r="N275"/>
    </row>
    <row r="276">
      <c r="A276" t="inlineStr">
        <is>
          <t>10</t>
        </is>
      </c>
      <c r="B276" t="inlineStr">
        <is>
          <t>10-series-temporales</t>
        </is>
      </c>
      <c r="C276" t="inlineStr">
        <is>
          <t>Checklist de entrega — UD10 Series Temporales</t>
        </is>
      </c>
      <c r="D276" t="inlineStr">
        <is>
          <t>guía/rúbrica</t>
        </is>
      </c>
      <c r="E276" t="inlineStr">
        <is>
          <t>10-series-temporales/04-evaluacion/checklist-entrega.md</t>
        </is>
      </c>
      <c r="F276" t="inlineStr">
        <is>
          <t>Sí</t>
        </is>
      </c>
      <c r="G276" t="inlineStr">
        <is>
          <t>Pendiente</t>
        </is>
      </c>
      <c r="H276"/>
      <c r="I276"/>
      <c r="J276"/>
      <c r="K276"/>
      <c r="L276">
        <f>IF(AND(ISNUMBER(J276),ISNUMBER(K276)),MAX(J276-K276,0),"")</f>
      </c>
      <c r="M276"/>
      <c r="N276"/>
    </row>
    <row r="277">
      <c r="A277" t="inlineStr">
        <is>
          <t>10</t>
        </is>
      </c>
      <c r="B277" t="inlineStr">
        <is>
          <t>10-series-temporales</t>
        </is>
      </c>
      <c r="C277" t="inlineStr">
        <is>
          <t>Cuestionario Series Temporales</t>
        </is>
      </c>
      <c r="D277" t="inlineStr">
        <is>
          <t>cuestionario</t>
        </is>
      </c>
      <c r="E277" t="inlineStr">
        <is>
          <t>10-series-temporales/04-evaluacion/cuestionario_series_temporales.gift</t>
        </is>
      </c>
      <c r="F277" t="inlineStr">
        <is>
          <t>Sí</t>
        </is>
      </c>
      <c r="G277" t="inlineStr">
        <is>
          <t>Pendiente</t>
        </is>
      </c>
      <c r="H277"/>
      <c r="I277"/>
      <c r="J277"/>
      <c r="K277"/>
      <c r="L277">
        <f>IF(AND(ISNUMBER(J277),ISNUMBER(K277)),MAX(J277-K277,0),"")</f>
      </c>
      <c r="M277"/>
      <c r="N277"/>
    </row>
    <row r="278">
      <c r="A278" t="inlineStr">
        <is>
          <t>10</t>
        </is>
      </c>
      <c r="B278" t="inlineStr">
        <is>
          <t>10-series-temporales</t>
        </is>
      </c>
      <c r="C278" t="inlineStr">
        <is>
          <t>Rúbrica — UD10 Series Temporales</t>
        </is>
      </c>
      <c r="D278" t="inlineStr">
        <is>
          <t>guía/rúbrica</t>
        </is>
      </c>
      <c r="E278" t="inlineStr">
        <is>
          <t>10-series-temporales/04-evaluacion/rubrica.md</t>
        </is>
      </c>
      <c r="F278" t="inlineStr">
        <is>
          <t>Sí</t>
        </is>
      </c>
      <c r="G278" t="inlineStr">
        <is>
          <t>Pendiente</t>
        </is>
      </c>
      <c r="H278"/>
      <c r="I278"/>
      <c r="J278"/>
      <c r="K278"/>
      <c r="L278">
        <f>IF(AND(ISNUMBER(J278),ISNUMBER(K278)),MAX(J278-K278,0),"")</f>
      </c>
      <c r="M278"/>
      <c r="N278"/>
    </row>
    <row r="279">
      <c r="A279" t="inlineStr">
        <is>
          <t>11</t>
        </is>
      </c>
      <c r="B279" t="inlineStr">
        <is>
          <t>11-anexos</t>
        </is>
      </c>
      <c r="C279" t="inlineStr">
        <is>
          <t>Evaluación — UD11 Anexos</t>
        </is>
      </c>
      <c r="D279" t="inlineStr">
        <is>
          <t>guía/rúbrica</t>
        </is>
      </c>
      <c r="E279" t="inlineStr">
        <is>
          <t>11-anexos/04-evaluacion/README.md</t>
        </is>
      </c>
      <c r="F279" t="inlineStr">
        <is>
          <t>Sí</t>
        </is>
      </c>
      <c r="G279" t="inlineStr">
        <is>
          <t>Pendiente</t>
        </is>
      </c>
      <c r="H279"/>
      <c r="I279"/>
      <c r="J279"/>
      <c r="K279"/>
      <c r="L279">
        <f>IF(AND(ISNUMBER(J279),ISNUMBER(K279)),MAX(J279-K279,0),"")</f>
      </c>
      <c r="M279"/>
      <c r="N279"/>
    </row>
    <row r="280">
      <c r="A280" t="inlineStr">
        <is>
          <t>12</t>
        </is>
      </c>
      <c r="B280" t="inlineStr">
        <is>
          <t>12-proyecto-integrado</t>
        </is>
      </c>
      <c r="C280" t="inlineStr">
        <is>
          <t>Evaluación — UD12 Proyecto Integrado</t>
        </is>
      </c>
      <c r="D280" t="inlineStr">
        <is>
          <t>guía/rúbrica</t>
        </is>
      </c>
      <c r="E280" t="inlineStr">
        <is>
          <t>12-proyecto-integrado/04-evaluacion/README.md</t>
        </is>
      </c>
      <c r="F280" t="inlineStr">
        <is>
          <t>Sí</t>
        </is>
      </c>
      <c r="G280" t="inlineStr">
        <is>
          <t>Pendiente</t>
        </is>
      </c>
      <c r="H280"/>
      <c r="I280"/>
      <c r="J280"/>
      <c r="K280"/>
      <c r="L280">
        <f>IF(AND(ISNUMBER(J280),ISNUMBER(K280)),MAX(J280-K280,0),"")</f>
      </c>
      <c r="M280"/>
      <c r="N280"/>
    </row>
  </sheetData>
  <autoFilter ref="A1:O280"/>
  <dataValidations count="2">
    <dataValidation type="list" allowBlank="1" showErrorMessage="1" sqref="F2:F1000">
      <formula1>"Sí,No,Revisar"</formula1>
    </dataValidation>
    <dataValidation type="list" allowBlank="1" showErrorMessage="1" sqref="G2:G1000">
      <formula1>"Pendiente,En curso,Entregada,Corregida,Devuelta,Archivada"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dimension ref="A1:M301"/>
  <sheetViews>
    <sheetView workbookViewId="0">
      <pane ySplit="1" topLeftCell="A2" activePane="bottomLeft" state="frozen"/>
    </sheetView>
  </sheetViews>
  <cols>
    <col min="1" max="1" width="28" customWidth="1"/>
    <col min="2" max="2" width="14" customWidth="1"/>
    <col min="3" max="3" width="10" customWidth="1"/>
    <col min="4" max="4" width="42" customWidth="1"/>
    <col min="5" max="5" width="60" customWidth="1"/>
    <col min="6" max="6" width="18" customWidth="1"/>
    <col min="7" max="7" width="18" customWidth="1"/>
    <col min="8" max="8" width="18" customWidth="1"/>
    <col min="9" max="9" width="16" customWidth="1"/>
    <col min="10" max="10" width="12" customWidth="1"/>
    <col min="11" max="11" width="10" customWidth="1"/>
    <col min="12" max="12" width="16" customWidth="1"/>
    <col min="13" max="13" width="45" customWidth="1"/>
  </cols>
  <sheetFormatPr defaultRowHeight="15"/>
  <sheetData>
    <row r="1">
      <c r="A1" t="inlineStr" s="1">
        <is>
          <t>Alumno</t>
        </is>
      </c>
      <c r="B1" t="inlineStr" s="1">
        <is>
          <t>Grupo</t>
        </is>
      </c>
      <c r="C1" t="inlineStr" s="1">
        <is>
          <t>Unidad</t>
        </is>
      </c>
      <c r="D1" t="inlineStr" s="1">
        <is>
          <t>Actividad</t>
        </is>
      </c>
      <c r="E1" t="inlineStr" s="1">
        <is>
          <t>Ruta</t>
        </is>
      </c>
      <c r="F1" t="inlineStr" s="1">
        <is>
          <t>RA/CE</t>
        </is>
      </c>
      <c r="G1" t="inlineStr" s="1">
        <is>
          <t>Estado entrega</t>
        </is>
      </c>
      <c r="H1" t="inlineStr" s="1">
        <is>
          <t>Estado corrección</t>
        </is>
      </c>
      <c r="I1" t="inlineStr" s="1">
        <is>
          <t>Fecha entrega</t>
        </is>
      </c>
      <c r="J1" t="inlineStr" s="1">
        <is>
          <t>Nota 0-10</t>
        </is>
      </c>
      <c r="K1" t="inlineStr" s="1">
        <is>
          <t>Peso %</t>
        </is>
      </c>
      <c r="L1" t="inlineStr" s="1">
        <is>
          <t>Nota ponderada</t>
        </is>
      </c>
      <c r="M1" t="inlineStr" s="1">
        <is>
          <t>Observaciones</t>
        </is>
      </c>
    </row>
    <row r="2">
      <c r="A2"/>
      <c r="B2"/>
      <c r="C2"/>
      <c r="D2"/>
      <c r="E2"/>
      <c r="F2"/>
      <c r="G2" t="inlineStr">
        <is>
          <t>No empezada</t>
        </is>
      </c>
      <c r="H2" t="inlineStr">
        <is>
          <t>Pendiente</t>
        </is>
      </c>
      <c r="I2"/>
      <c r="J2"/>
      <c r="K2"/>
      <c r="L2">
        <f>IF(AND(ISNUMBER(J2),ISNUMBER(K2)),J2*K2/100,"")</f>
      </c>
      <c r="M2"/>
    </row>
    <row r="3">
      <c r="A3"/>
      <c r="B3"/>
      <c r="C3"/>
      <c r="D3"/>
      <c r="E3"/>
      <c r="F3"/>
      <c r="G3" t="inlineStr">
        <is>
          <t>No empezada</t>
        </is>
      </c>
      <c r="H3" t="inlineStr">
        <is>
          <t>Pendiente</t>
        </is>
      </c>
      <c r="I3"/>
      <c r="J3"/>
      <c r="K3"/>
      <c r="L3">
        <f>IF(AND(ISNUMBER(J3),ISNUMBER(K3)),J3*K3/100,"")</f>
      </c>
      <c r="M3"/>
    </row>
    <row r="4">
      <c r="A4"/>
      <c r="B4"/>
      <c r="C4"/>
      <c r="D4"/>
      <c r="E4"/>
      <c r="F4"/>
      <c r="G4" t="inlineStr">
        <is>
          <t>No empezada</t>
        </is>
      </c>
      <c r="H4" t="inlineStr">
        <is>
          <t>Pendiente</t>
        </is>
      </c>
      <c r="I4"/>
      <c r="J4"/>
      <c r="K4"/>
      <c r="L4">
        <f>IF(AND(ISNUMBER(J4),ISNUMBER(K4)),J4*K4/100,"")</f>
      </c>
      <c r="M4"/>
    </row>
    <row r="5">
      <c r="A5"/>
      <c r="B5"/>
      <c r="C5"/>
      <c r="D5"/>
      <c r="E5"/>
      <c r="F5"/>
      <c r="G5" t="inlineStr">
        <is>
          <t>No empezada</t>
        </is>
      </c>
      <c r="H5" t="inlineStr">
        <is>
          <t>Pendiente</t>
        </is>
      </c>
      <c r="I5"/>
      <c r="J5"/>
      <c r="K5"/>
      <c r="L5">
        <f>IF(AND(ISNUMBER(J5),ISNUMBER(K5)),J5*K5/100,"")</f>
      </c>
      <c r="M5"/>
    </row>
    <row r="6">
      <c r="A6"/>
      <c r="B6"/>
      <c r="C6"/>
      <c r="D6"/>
      <c r="E6"/>
      <c r="F6"/>
      <c r="G6" t="inlineStr">
        <is>
          <t>No empezada</t>
        </is>
      </c>
      <c r="H6" t="inlineStr">
        <is>
          <t>Pendiente</t>
        </is>
      </c>
      <c r="I6"/>
      <c r="J6"/>
      <c r="K6"/>
      <c r="L6">
        <f>IF(AND(ISNUMBER(J6),ISNUMBER(K6)),J6*K6/100,"")</f>
      </c>
      <c r="M6"/>
    </row>
    <row r="7">
      <c r="A7"/>
      <c r="B7"/>
      <c r="C7"/>
      <c r="D7"/>
      <c r="E7"/>
      <c r="F7"/>
      <c r="G7" t="inlineStr">
        <is>
          <t>No empezada</t>
        </is>
      </c>
      <c r="H7" t="inlineStr">
        <is>
          <t>Pendiente</t>
        </is>
      </c>
      <c r="I7"/>
      <c r="J7"/>
      <c r="K7"/>
      <c r="L7">
        <f>IF(AND(ISNUMBER(J7),ISNUMBER(K7)),J7*K7/100,"")</f>
      </c>
      <c r="M7"/>
    </row>
    <row r="8">
      <c r="A8"/>
      <c r="B8"/>
      <c r="C8"/>
      <c r="D8"/>
      <c r="E8"/>
      <c r="F8"/>
      <c r="G8" t="inlineStr">
        <is>
          <t>No empezada</t>
        </is>
      </c>
      <c r="H8" t="inlineStr">
        <is>
          <t>Pendiente</t>
        </is>
      </c>
      <c r="I8"/>
      <c r="J8"/>
      <c r="K8"/>
      <c r="L8">
        <f>IF(AND(ISNUMBER(J8),ISNUMBER(K8)),J8*K8/100,"")</f>
      </c>
      <c r="M8"/>
    </row>
    <row r="9">
      <c r="A9"/>
      <c r="B9"/>
      <c r="C9"/>
      <c r="D9"/>
      <c r="E9"/>
      <c r="F9"/>
      <c r="G9" t="inlineStr">
        <is>
          <t>No empezada</t>
        </is>
      </c>
      <c r="H9" t="inlineStr">
        <is>
          <t>Pendiente</t>
        </is>
      </c>
      <c r="I9"/>
      <c r="J9"/>
      <c r="K9"/>
      <c r="L9">
        <f>IF(AND(ISNUMBER(J9),ISNUMBER(K9)),J9*K9/100,"")</f>
      </c>
      <c r="M9"/>
    </row>
    <row r="10">
      <c r="A10"/>
      <c r="B10"/>
      <c r="C10"/>
      <c r="D10"/>
      <c r="E10"/>
      <c r="F10"/>
      <c r="G10" t="inlineStr">
        <is>
          <t>No empezada</t>
        </is>
      </c>
      <c r="H10" t="inlineStr">
        <is>
          <t>Pendiente</t>
        </is>
      </c>
      <c r="I10"/>
      <c r="J10"/>
      <c r="K10"/>
      <c r="L10">
        <f>IF(AND(ISNUMBER(J10),ISNUMBER(K10)),J10*K10/100,"")</f>
      </c>
      <c r="M10"/>
    </row>
    <row r="11">
      <c r="A11"/>
      <c r="B11"/>
      <c r="C11"/>
      <c r="D11"/>
      <c r="E11"/>
      <c r="F11"/>
      <c r="G11" t="inlineStr">
        <is>
          <t>No empezada</t>
        </is>
      </c>
      <c r="H11" t="inlineStr">
        <is>
          <t>Pendiente</t>
        </is>
      </c>
      <c r="I11"/>
      <c r="J11"/>
      <c r="K11"/>
      <c r="L11">
        <f>IF(AND(ISNUMBER(J11),ISNUMBER(K11)),J11*K11/100,"")</f>
      </c>
      <c r="M11"/>
    </row>
    <row r="12">
      <c r="A12"/>
      <c r="B12"/>
      <c r="C12"/>
      <c r="D12"/>
      <c r="E12"/>
      <c r="F12"/>
      <c r="G12" t="inlineStr">
        <is>
          <t>No empezada</t>
        </is>
      </c>
      <c r="H12" t="inlineStr">
        <is>
          <t>Pendiente</t>
        </is>
      </c>
      <c r="I12"/>
      <c r="J12"/>
      <c r="K12"/>
      <c r="L12">
        <f>IF(AND(ISNUMBER(J12),ISNUMBER(K12)),J12*K12/100,"")</f>
      </c>
      <c r="M12"/>
    </row>
    <row r="13">
      <c r="A13"/>
      <c r="B13"/>
      <c r="C13"/>
      <c r="D13"/>
      <c r="E13"/>
      <c r="F13"/>
      <c r="G13" t="inlineStr">
        <is>
          <t>No empezada</t>
        </is>
      </c>
      <c r="H13" t="inlineStr">
        <is>
          <t>Pendiente</t>
        </is>
      </c>
      <c r="I13"/>
      <c r="J13"/>
      <c r="K13"/>
      <c r="L13">
        <f>IF(AND(ISNUMBER(J13),ISNUMBER(K13)),J13*K13/100,"")</f>
      </c>
      <c r="M13"/>
    </row>
    <row r="14">
      <c r="A14"/>
      <c r="B14"/>
      <c r="C14"/>
      <c r="D14"/>
      <c r="E14"/>
      <c r="F14"/>
      <c r="G14" t="inlineStr">
        <is>
          <t>No empezada</t>
        </is>
      </c>
      <c r="H14" t="inlineStr">
        <is>
          <t>Pendiente</t>
        </is>
      </c>
      <c r="I14"/>
      <c r="J14"/>
      <c r="K14"/>
      <c r="L14">
        <f>IF(AND(ISNUMBER(J14),ISNUMBER(K14)),J14*K14/100,"")</f>
      </c>
      <c r="M14"/>
    </row>
    <row r="15">
      <c r="A15"/>
      <c r="B15"/>
      <c r="C15"/>
      <c r="D15"/>
      <c r="E15"/>
      <c r="F15"/>
      <c r="G15" t="inlineStr">
        <is>
          <t>No empezada</t>
        </is>
      </c>
      <c r="H15" t="inlineStr">
        <is>
          <t>Pendiente</t>
        </is>
      </c>
      <c r="I15"/>
      <c r="J15"/>
      <c r="K15"/>
      <c r="L15">
        <f>IF(AND(ISNUMBER(J15),ISNUMBER(K15)),J15*K15/100,"")</f>
      </c>
      <c r="M15"/>
    </row>
    <row r="16">
      <c r="A16"/>
      <c r="B16"/>
      <c r="C16"/>
      <c r="D16"/>
      <c r="E16"/>
      <c r="F16"/>
      <c r="G16" t="inlineStr">
        <is>
          <t>No empezada</t>
        </is>
      </c>
      <c r="H16" t="inlineStr">
        <is>
          <t>Pendiente</t>
        </is>
      </c>
      <c r="I16"/>
      <c r="J16"/>
      <c r="K16"/>
      <c r="L16">
        <f>IF(AND(ISNUMBER(J16),ISNUMBER(K16)),J16*K16/100,"")</f>
      </c>
      <c r="M16"/>
    </row>
    <row r="17">
      <c r="A17"/>
      <c r="B17"/>
      <c r="C17"/>
      <c r="D17"/>
      <c r="E17"/>
      <c r="F17"/>
      <c r="G17" t="inlineStr">
        <is>
          <t>No empezada</t>
        </is>
      </c>
      <c r="H17" t="inlineStr">
        <is>
          <t>Pendiente</t>
        </is>
      </c>
      <c r="I17"/>
      <c r="J17"/>
      <c r="K17"/>
      <c r="L17">
        <f>IF(AND(ISNUMBER(J17),ISNUMBER(K17)),J17*K17/100,"")</f>
      </c>
      <c r="M17"/>
    </row>
    <row r="18">
      <c r="A18"/>
      <c r="B18"/>
      <c r="C18"/>
      <c r="D18"/>
      <c r="E18"/>
      <c r="F18"/>
      <c r="G18" t="inlineStr">
        <is>
          <t>No empezada</t>
        </is>
      </c>
      <c r="H18" t="inlineStr">
        <is>
          <t>Pendiente</t>
        </is>
      </c>
      <c r="I18"/>
      <c r="J18"/>
      <c r="K18"/>
      <c r="L18">
        <f>IF(AND(ISNUMBER(J18),ISNUMBER(K18)),J18*K18/100,"")</f>
      </c>
      <c r="M18"/>
    </row>
    <row r="19">
      <c r="A19"/>
      <c r="B19"/>
      <c r="C19"/>
      <c r="D19"/>
      <c r="E19"/>
      <c r="F19"/>
      <c r="G19" t="inlineStr">
        <is>
          <t>No empezada</t>
        </is>
      </c>
      <c r="H19" t="inlineStr">
        <is>
          <t>Pendiente</t>
        </is>
      </c>
      <c r="I19"/>
      <c r="J19"/>
      <c r="K19"/>
      <c r="L19">
        <f>IF(AND(ISNUMBER(J19),ISNUMBER(K19)),J19*K19/100,"")</f>
      </c>
      <c r="M19"/>
    </row>
    <row r="20">
      <c r="A20"/>
      <c r="B20"/>
      <c r="C20"/>
      <c r="D20"/>
      <c r="E20"/>
      <c r="F20"/>
      <c r="G20" t="inlineStr">
        <is>
          <t>No empezada</t>
        </is>
      </c>
      <c r="H20" t="inlineStr">
        <is>
          <t>Pendiente</t>
        </is>
      </c>
      <c r="I20"/>
      <c r="J20"/>
      <c r="K20"/>
      <c r="L20">
        <f>IF(AND(ISNUMBER(J20),ISNUMBER(K20)),J20*K20/100,"")</f>
      </c>
      <c r="M20"/>
    </row>
    <row r="21">
      <c r="A21"/>
      <c r="B21"/>
      <c r="C21"/>
      <c r="D21"/>
      <c r="E21"/>
      <c r="F21"/>
      <c r="G21" t="inlineStr">
        <is>
          <t>No empezada</t>
        </is>
      </c>
      <c r="H21" t="inlineStr">
        <is>
          <t>Pendiente</t>
        </is>
      </c>
      <c r="I21"/>
      <c r="J21"/>
      <c r="K21"/>
      <c r="L21">
        <f>IF(AND(ISNUMBER(J21),ISNUMBER(K21)),J21*K21/100,"")</f>
      </c>
      <c r="M21"/>
    </row>
    <row r="22">
      <c r="A22"/>
      <c r="B22"/>
      <c r="C22"/>
      <c r="D22"/>
      <c r="E22"/>
      <c r="F22"/>
      <c r="G22" t="inlineStr">
        <is>
          <t>No empezada</t>
        </is>
      </c>
      <c r="H22" t="inlineStr">
        <is>
          <t>Pendiente</t>
        </is>
      </c>
      <c r="I22"/>
      <c r="J22"/>
      <c r="K22"/>
      <c r="L22">
        <f>IF(AND(ISNUMBER(J22),ISNUMBER(K22)),J22*K22/100,"")</f>
      </c>
      <c r="M22"/>
    </row>
    <row r="23">
      <c r="A23"/>
      <c r="B23"/>
      <c r="C23"/>
      <c r="D23"/>
      <c r="E23"/>
      <c r="F23"/>
      <c r="G23" t="inlineStr">
        <is>
          <t>No empezada</t>
        </is>
      </c>
      <c r="H23" t="inlineStr">
        <is>
          <t>Pendiente</t>
        </is>
      </c>
      <c r="I23"/>
      <c r="J23"/>
      <c r="K23"/>
      <c r="L23">
        <f>IF(AND(ISNUMBER(J23),ISNUMBER(K23)),J23*K23/100,"")</f>
      </c>
      <c r="M23"/>
    </row>
    <row r="24">
      <c r="A24"/>
      <c r="B24"/>
      <c r="C24"/>
      <c r="D24"/>
      <c r="E24"/>
      <c r="F24"/>
      <c r="G24" t="inlineStr">
        <is>
          <t>No empezada</t>
        </is>
      </c>
      <c r="H24" t="inlineStr">
        <is>
          <t>Pendiente</t>
        </is>
      </c>
      <c r="I24"/>
      <c r="J24"/>
      <c r="K24"/>
      <c r="L24">
        <f>IF(AND(ISNUMBER(J24),ISNUMBER(K24)),J24*K24/100,"")</f>
      </c>
      <c r="M24"/>
    </row>
    <row r="25">
      <c r="A25"/>
      <c r="B25"/>
      <c r="C25"/>
      <c r="D25"/>
      <c r="E25"/>
      <c r="F25"/>
      <c r="G25" t="inlineStr">
        <is>
          <t>No empezada</t>
        </is>
      </c>
      <c r="H25" t="inlineStr">
        <is>
          <t>Pendiente</t>
        </is>
      </c>
      <c r="I25"/>
      <c r="J25"/>
      <c r="K25"/>
      <c r="L25">
        <f>IF(AND(ISNUMBER(J25),ISNUMBER(K25)),J25*K25/100,"")</f>
      </c>
      <c r="M25"/>
    </row>
    <row r="26">
      <c r="A26"/>
      <c r="B26"/>
      <c r="C26"/>
      <c r="D26"/>
      <c r="E26"/>
      <c r="F26"/>
      <c r="G26" t="inlineStr">
        <is>
          <t>No empezada</t>
        </is>
      </c>
      <c r="H26" t="inlineStr">
        <is>
          <t>Pendiente</t>
        </is>
      </c>
      <c r="I26"/>
      <c r="J26"/>
      <c r="K26"/>
      <c r="L26">
        <f>IF(AND(ISNUMBER(J26),ISNUMBER(K26)),J26*K26/100,"")</f>
      </c>
      <c r="M26"/>
    </row>
    <row r="27">
      <c r="A27"/>
      <c r="B27"/>
      <c r="C27"/>
      <c r="D27"/>
      <c r="E27"/>
      <c r="F27"/>
      <c r="G27" t="inlineStr">
        <is>
          <t>No empezada</t>
        </is>
      </c>
      <c r="H27" t="inlineStr">
        <is>
          <t>Pendiente</t>
        </is>
      </c>
      <c r="I27"/>
      <c r="J27"/>
      <c r="K27"/>
      <c r="L27">
        <f>IF(AND(ISNUMBER(J27),ISNUMBER(K27)),J27*K27/100,"")</f>
      </c>
      <c r="M27"/>
    </row>
    <row r="28">
      <c r="A28"/>
      <c r="B28"/>
      <c r="C28"/>
      <c r="D28"/>
      <c r="E28"/>
      <c r="F28"/>
      <c r="G28" t="inlineStr">
        <is>
          <t>No empezada</t>
        </is>
      </c>
      <c r="H28" t="inlineStr">
        <is>
          <t>Pendiente</t>
        </is>
      </c>
      <c r="I28"/>
      <c r="J28"/>
      <c r="K28"/>
      <c r="L28">
        <f>IF(AND(ISNUMBER(J28),ISNUMBER(K28)),J28*K28/100,"")</f>
      </c>
      <c r="M28"/>
    </row>
    <row r="29">
      <c r="A29"/>
      <c r="B29"/>
      <c r="C29"/>
      <c r="D29"/>
      <c r="E29"/>
      <c r="F29"/>
      <c r="G29" t="inlineStr">
        <is>
          <t>No empezada</t>
        </is>
      </c>
      <c r="H29" t="inlineStr">
        <is>
          <t>Pendiente</t>
        </is>
      </c>
      <c r="I29"/>
      <c r="J29"/>
      <c r="K29"/>
      <c r="L29">
        <f>IF(AND(ISNUMBER(J29),ISNUMBER(K29)),J29*K29/100,"")</f>
      </c>
      <c r="M29"/>
    </row>
    <row r="30">
      <c r="A30"/>
      <c r="B30"/>
      <c r="C30"/>
      <c r="D30"/>
      <c r="E30"/>
      <c r="F30"/>
      <c r="G30" t="inlineStr">
        <is>
          <t>No empezada</t>
        </is>
      </c>
      <c r="H30" t="inlineStr">
        <is>
          <t>Pendiente</t>
        </is>
      </c>
      <c r="I30"/>
      <c r="J30"/>
      <c r="K30"/>
      <c r="L30">
        <f>IF(AND(ISNUMBER(J30),ISNUMBER(K30)),J30*K30/100,"")</f>
      </c>
      <c r="M30"/>
    </row>
    <row r="31">
      <c r="A31"/>
      <c r="B31"/>
      <c r="C31"/>
      <c r="D31"/>
      <c r="E31"/>
      <c r="F31"/>
      <c r="G31" t="inlineStr">
        <is>
          <t>No empezada</t>
        </is>
      </c>
      <c r="H31" t="inlineStr">
        <is>
          <t>Pendiente</t>
        </is>
      </c>
      <c r="I31"/>
      <c r="J31"/>
      <c r="K31"/>
      <c r="L31">
        <f>IF(AND(ISNUMBER(J31),ISNUMBER(K31)),J31*K31/100,"")</f>
      </c>
      <c r="M31"/>
    </row>
    <row r="32">
      <c r="A32"/>
      <c r="B32"/>
      <c r="C32"/>
      <c r="D32"/>
      <c r="E32"/>
      <c r="F32"/>
      <c r="G32" t="inlineStr">
        <is>
          <t>No empezada</t>
        </is>
      </c>
      <c r="H32" t="inlineStr">
        <is>
          <t>Pendiente</t>
        </is>
      </c>
      <c r="I32"/>
      <c r="J32"/>
      <c r="K32"/>
      <c r="L32">
        <f>IF(AND(ISNUMBER(J32),ISNUMBER(K32)),J32*K32/100,"")</f>
      </c>
      <c r="M32"/>
    </row>
    <row r="33">
      <c r="A33"/>
      <c r="B33"/>
      <c r="C33"/>
      <c r="D33"/>
      <c r="E33"/>
      <c r="F33"/>
      <c r="G33" t="inlineStr">
        <is>
          <t>No empezada</t>
        </is>
      </c>
      <c r="H33" t="inlineStr">
        <is>
          <t>Pendiente</t>
        </is>
      </c>
      <c r="I33"/>
      <c r="J33"/>
      <c r="K33"/>
      <c r="L33">
        <f>IF(AND(ISNUMBER(J33),ISNUMBER(K33)),J33*K33/100,"")</f>
      </c>
      <c r="M33"/>
    </row>
    <row r="34">
      <c r="A34"/>
      <c r="B34"/>
      <c r="C34"/>
      <c r="D34"/>
      <c r="E34"/>
      <c r="F34"/>
      <c r="G34" t="inlineStr">
        <is>
          <t>No empezada</t>
        </is>
      </c>
      <c r="H34" t="inlineStr">
        <is>
          <t>Pendiente</t>
        </is>
      </c>
      <c r="I34"/>
      <c r="J34"/>
      <c r="K34"/>
      <c r="L34">
        <f>IF(AND(ISNUMBER(J34),ISNUMBER(K34)),J34*K34/100,"")</f>
      </c>
      <c r="M34"/>
    </row>
    <row r="35">
      <c r="A35"/>
      <c r="B35"/>
      <c r="C35"/>
      <c r="D35"/>
      <c r="E35"/>
      <c r="F35"/>
      <c r="G35" t="inlineStr">
        <is>
          <t>No empezada</t>
        </is>
      </c>
      <c r="H35" t="inlineStr">
        <is>
          <t>Pendiente</t>
        </is>
      </c>
      <c r="I35"/>
      <c r="J35"/>
      <c r="K35"/>
      <c r="L35">
        <f>IF(AND(ISNUMBER(J35),ISNUMBER(K35)),J35*K35/100,"")</f>
      </c>
      <c r="M35"/>
    </row>
    <row r="36">
      <c r="A36"/>
      <c r="B36"/>
      <c r="C36"/>
      <c r="D36"/>
      <c r="E36"/>
      <c r="F36"/>
      <c r="G36" t="inlineStr">
        <is>
          <t>No empezada</t>
        </is>
      </c>
      <c r="H36" t="inlineStr">
        <is>
          <t>Pendiente</t>
        </is>
      </c>
      <c r="I36"/>
      <c r="J36"/>
      <c r="K36"/>
      <c r="L36">
        <f>IF(AND(ISNUMBER(J36),ISNUMBER(K36)),J36*K36/100,"")</f>
      </c>
      <c r="M36"/>
    </row>
    <row r="37">
      <c r="A37"/>
      <c r="B37"/>
      <c r="C37"/>
      <c r="D37"/>
      <c r="E37"/>
      <c r="F37"/>
      <c r="G37" t="inlineStr">
        <is>
          <t>No empezada</t>
        </is>
      </c>
      <c r="H37" t="inlineStr">
        <is>
          <t>Pendiente</t>
        </is>
      </c>
      <c r="I37"/>
      <c r="J37"/>
      <c r="K37"/>
      <c r="L37">
        <f>IF(AND(ISNUMBER(J37),ISNUMBER(K37)),J37*K37/100,"")</f>
      </c>
      <c r="M37"/>
    </row>
    <row r="38">
      <c r="A38"/>
      <c r="B38"/>
      <c r="C38"/>
      <c r="D38"/>
      <c r="E38"/>
      <c r="F38"/>
      <c r="G38" t="inlineStr">
        <is>
          <t>No empezada</t>
        </is>
      </c>
      <c r="H38" t="inlineStr">
        <is>
          <t>Pendiente</t>
        </is>
      </c>
      <c r="I38"/>
      <c r="J38"/>
      <c r="K38"/>
      <c r="L38">
        <f>IF(AND(ISNUMBER(J38),ISNUMBER(K38)),J38*K38/100,"")</f>
      </c>
      <c r="M38"/>
    </row>
    <row r="39">
      <c r="A39"/>
      <c r="B39"/>
      <c r="C39"/>
      <c r="D39"/>
      <c r="E39"/>
      <c r="F39"/>
      <c r="G39" t="inlineStr">
        <is>
          <t>No empezada</t>
        </is>
      </c>
      <c r="H39" t="inlineStr">
        <is>
          <t>Pendiente</t>
        </is>
      </c>
      <c r="I39"/>
      <c r="J39"/>
      <c r="K39"/>
      <c r="L39">
        <f>IF(AND(ISNUMBER(J39),ISNUMBER(K39)),J39*K39/100,"")</f>
      </c>
      <c r="M39"/>
    </row>
    <row r="40">
      <c r="A40"/>
      <c r="B40"/>
      <c r="C40"/>
      <c r="D40"/>
      <c r="E40"/>
      <c r="F40"/>
      <c r="G40" t="inlineStr">
        <is>
          <t>No empezada</t>
        </is>
      </c>
      <c r="H40" t="inlineStr">
        <is>
          <t>Pendiente</t>
        </is>
      </c>
      <c r="I40"/>
      <c r="J40"/>
      <c r="K40"/>
      <c r="L40">
        <f>IF(AND(ISNUMBER(J40),ISNUMBER(K40)),J40*K40/100,"")</f>
      </c>
      <c r="M40"/>
    </row>
    <row r="41">
      <c r="A41"/>
      <c r="B41"/>
      <c r="C41"/>
      <c r="D41"/>
      <c r="E41"/>
      <c r="F41"/>
      <c r="G41" t="inlineStr">
        <is>
          <t>No empezada</t>
        </is>
      </c>
      <c r="H41" t="inlineStr">
        <is>
          <t>Pendiente</t>
        </is>
      </c>
      <c r="I41"/>
      <c r="J41"/>
      <c r="K41"/>
      <c r="L41">
        <f>IF(AND(ISNUMBER(J41),ISNUMBER(K41)),J41*K41/100,"")</f>
      </c>
      <c r="M41"/>
    </row>
    <row r="42">
      <c r="A42"/>
      <c r="B42"/>
      <c r="C42"/>
      <c r="D42"/>
      <c r="E42"/>
      <c r="F42"/>
      <c r="G42" t="inlineStr">
        <is>
          <t>No empezada</t>
        </is>
      </c>
      <c r="H42" t="inlineStr">
        <is>
          <t>Pendiente</t>
        </is>
      </c>
      <c r="I42"/>
      <c r="J42"/>
      <c r="K42"/>
      <c r="L42">
        <f>IF(AND(ISNUMBER(J42),ISNUMBER(K42)),J42*K42/100,"")</f>
      </c>
      <c r="M42"/>
    </row>
    <row r="43">
      <c r="A43"/>
      <c r="B43"/>
      <c r="C43"/>
      <c r="D43"/>
      <c r="E43"/>
      <c r="F43"/>
      <c r="G43" t="inlineStr">
        <is>
          <t>No empezada</t>
        </is>
      </c>
      <c r="H43" t="inlineStr">
        <is>
          <t>Pendiente</t>
        </is>
      </c>
      <c r="I43"/>
      <c r="J43"/>
      <c r="K43"/>
      <c r="L43">
        <f>IF(AND(ISNUMBER(J43),ISNUMBER(K43)),J43*K43/100,"")</f>
      </c>
      <c r="M43"/>
    </row>
    <row r="44">
      <c r="A44"/>
      <c r="B44"/>
      <c r="C44"/>
      <c r="D44"/>
      <c r="E44"/>
      <c r="F44"/>
      <c r="G44" t="inlineStr">
        <is>
          <t>No empezada</t>
        </is>
      </c>
      <c r="H44" t="inlineStr">
        <is>
          <t>Pendiente</t>
        </is>
      </c>
      <c r="I44"/>
      <c r="J44"/>
      <c r="K44"/>
      <c r="L44">
        <f>IF(AND(ISNUMBER(J44),ISNUMBER(K44)),J44*K44/100,"")</f>
      </c>
      <c r="M44"/>
    </row>
    <row r="45">
      <c r="A45"/>
      <c r="B45"/>
      <c r="C45"/>
      <c r="D45"/>
      <c r="E45"/>
      <c r="F45"/>
      <c r="G45" t="inlineStr">
        <is>
          <t>No empezada</t>
        </is>
      </c>
      <c r="H45" t="inlineStr">
        <is>
          <t>Pendiente</t>
        </is>
      </c>
      <c r="I45"/>
      <c r="J45"/>
      <c r="K45"/>
      <c r="L45">
        <f>IF(AND(ISNUMBER(J45),ISNUMBER(K45)),J45*K45/100,"")</f>
      </c>
      <c r="M45"/>
    </row>
    <row r="46">
      <c r="A46"/>
      <c r="B46"/>
      <c r="C46"/>
      <c r="D46"/>
      <c r="E46"/>
      <c r="F46"/>
      <c r="G46" t="inlineStr">
        <is>
          <t>No empezada</t>
        </is>
      </c>
      <c r="H46" t="inlineStr">
        <is>
          <t>Pendiente</t>
        </is>
      </c>
      <c r="I46"/>
      <c r="J46"/>
      <c r="K46"/>
      <c r="L46">
        <f>IF(AND(ISNUMBER(J46),ISNUMBER(K46)),J46*K46/100,"")</f>
      </c>
      <c r="M46"/>
    </row>
    <row r="47">
      <c r="A47"/>
      <c r="B47"/>
      <c r="C47"/>
      <c r="D47"/>
      <c r="E47"/>
      <c r="F47"/>
      <c r="G47" t="inlineStr">
        <is>
          <t>No empezada</t>
        </is>
      </c>
      <c r="H47" t="inlineStr">
        <is>
          <t>Pendiente</t>
        </is>
      </c>
      <c r="I47"/>
      <c r="J47"/>
      <c r="K47"/>
      <c r="L47">
        <f>IF(AND(ISNUMBER(J47),ISNUMBER(K47)),J47*K47/100,"")</f>
      </c>
      <c r="M47"/>
    </row>
    <row r="48">
      <c r="A48"/>
      <c r="B48"/>
      <c r="C48"/>
      <c r="D48"/>
      <c r="E48"/>
      <c r="F48"/>
      <c r="G48" t="inlineStr">
        <is>
          <t>No empezada</t>
        </is>
      </c>
      <c r="H48" t="inlineStr">
        <is>
          <t>Pendiente</t>
        </is>
      </c>
      <c r="I48"/>
      <c r="J48"/>
      <c r="K48"/>
      <c r="L48">
        <f>IF(AND(ISNUMBER(J48),ISNUMBER(K48)),J48*K48/100,"")</f>
      </c>
      <c r="M48"/>
    </row>
    <row r="49">
      <c r="A49"/>
      <c r="B49"/>
      <c r="C49"/>
      <c r="D49"/>
      <c r="E49"/>
      <c r="F49"/>
      <c r="G49" t="inlineStr">
        <is>
          <t>No empezada</t>
        </is>
      </c>
      <c r="H49" t="inlineStr">
        <is>
          <t>Pendiente</t>
        </is>
      </c>
      <c r="I49"/>
      <c r="J49"/>
      <c r="K49"/>
      <c r="L49">
        <f>IF(AND(ISNUMBER(J49),ISNUMBER(K49)),J49*K49/100,"")</f>
      </c>
      <c r="M49"/>
    </row>
    <row r="50">
      <c r="A50"/>
      <c r="B50"/>
      <c r="C50"/>
      <c r="D50"/>
      <c r="E50"/>
      <c r="F50"/>
      <c r="G50" t="inlineStr">
        <is>
          <t>No empezada</t>
        </is>
      </c>
      <c r="H50" t="inlineStr">
        <is>
          <t>Pendiente</t>
        </is>
      </c>
      <c r="I50"/>
      <c r="J50"/>
      <c r="K50"/>
      <c r="L50">
        <f>IF(AND(ISNUMBER(J50),ISNUMBER(K50)),J50*K50/100,"")</f>
      </c>
      <c r="M50"/>
    </row>
    <row r="51">
      <c r="A51"/>
      <c r="B51"/>
      <c r="C51"/>
      <c r="D51"/>
      <c r="E51"/>
      <c r="F51"/>
      <c r="G51" t="inlineStr">
        <is>
          <t>No empezada</t>
        </is>
      </c>
      <c r="H51" t="inlineStr">
        <is>
          <t>Pendiente</t>
        </is>
      </c>
      <c r="I51"/>
      <c r="J51"/>
      <c r="K51"/>
      <c r="L51">
        <f>IF(AND(ISNUMBER(J51),ISNUMBER(K51)),J51*K51/100,"")</f>
      </c>
      <c r="M51"/>
    </row>
    <row r="52">
      <c r="A52"/>
      <c r="B52"/>
      <c r="C52"/>
      <c r="D52"/>
      <c r="E52"/>
      <c r="F52"/>
      <c r="G52" t="inlineStr">
        <is>
          <t>No empezada</t>
        </is>
      </c>
      <c r="H52" t="inlineStr">
        <is>
          <t>Pendiente</t>
        </is>
      </c>
      <c r="I52"/>
      <c r="J52"/>
      <c r="K52"/>
      <c r="L52">
        <f>IF(AND(ISNUMBER(J52),ISNUMBER(K52)),J52*K52/100,"")</f>
      </c>
      <c r="M52"/>
    </row>
    <row r="53">
      <c r="A53"/>
      <c r="B53"/>
      <c r="C53"/>
      <c r="D53"/>
      <c r="E53"/>
      <c r="F53"/>
      <c r="G53" t="inlineStr">
        <is>
          <t>No empezada</t>
        </is>
      </c>
      <c r="H53" t="inlineStr">
        <is>
          <t>Pendiente</t>
        </is>
      </c>
      <c r="I53"/>
      <c r="J53"/>
      <c r="K53"/>
      <c r="L53">
        <f>IF(AND(ISNUMBER(J53),ISNUMBER(K53)),J53*K53/100,"")</f>
      </c>
      <c r="M53"/>
    </row>
    <row r="54">
      <c r="A54"/>
      <c r="B54"/>
      <c r="C54"/>
      <c r="D54"/>
      <c r="E54"/>
      <c r="F54"/>
      <c r="G54" t="inlineStr">
        <is>
          <t>No empezada</t>
        </is>
      </c>
      <c r="H54" t="inlineStr">
        <is>
          <t>Pendiente</t>
        </is>
      </c>
      <c r="I54"/>
      <c r="J54"/>
      <c r="K54"/>
      <c r="L54">
        <f>IF(AND(ISNUMBER(J54),ISNUMBER(K54)),J54*K54/100,"")</f>
      </c>
      <c r="M54"/>
    </row>
    <row r="55">
      <c r="A55"/>
      <c r="B55"/>
      <c r="C55"/>
      <c r="D55"/>
      <c r="E55"/>
      <c r="F55"/>
      <c r="G55" t="inlineStr">
        <is>
          <t>No empezada</t>
        </is>
      </c>
      <c r="H55" t="inlineStr">
        <is>
          <t>Pendiente</t>
        </is>
      </c>
      <c r="I55"/>
      <c r="J55"/>
      <c r="K55"/>
      <c r="L55">
        <f>IF(AND(ISNUMBER(J55),ISNUMBER(K55)),J55*K55/100,"")</f>
      </c>
      <c r="M55"/>
    </row>
    <row r="56">
      <c r="A56"/>
      <c r="B56"/>
      <c r="C56"/>
      <c r="D56"/>
      <c r="E56"/>
      <c r="F56"/>
      <c r="G56" t="inlineStr">
        <is>
          <t>No empezada</t>
        </is>
      </c>
      <c r="H56" t="inlineStr">
        <is>
          <t>Pendiente</t>
        </is>
      </c>
      <c r="I56"/>
      <c r="J56"/>
      <c r="K56"/>
      <c r="L56">
        <f>IF(AND(ISNUMBER(J56),ISNUMBER(K56)),J56*K56/100,"")</f>
      </c>
      <c r="M56"/>
    </row>
    <row r="57">
      <c r="A57"/>
      <c r="B57"/>
      <c r="C57"/>
      <c r="D57"/>
      <c r="E57"/>
      <c r="F57"/>
      <c r="G57" t="inlineStr">
        <is>
          <t>No empezada</t>
        </is>
      </c>
      <c r="H57" t="inlineStr">
        <is>
          <t>Pendiente</t>
        </is>
      </c>
      <c r="I57"/>
      <c r="J57"/>
      <c r="K57"/>
      <c r="L57">
        <f>IF(AND(ISNUMBER(J57),ISNUMBER(K57)),J57*K57/100,"")</f>
      </c>
      <c r="M57"/>
    </row>
    <row r="58">
      <c r="A58"/>
      <c r="B58"/>
      <c r="C58"/>
      <c r="D58"/>
      <c r="E58"/>
      <c r="F58"/>
      <c r="G58" t="inlineStr">
        <is>
          <t>No empezada</t>
        </is>
      </c>
      <c r="H58" t="inlineStr">
        <is>
          <t>Pendiente</t>
        </is>
      </c>
      <c r="I58"/>
      <c r="J58"/>
      <c r="K58"/>
      <c r="L58">
        <f>IF(AND(ISNUMBER(J58),ISNUMBER(K58)),J58*K58/100,"")</f>
      </c>
      <c r="M58"/>
    </row>
    <row r="59">
      <c r="A59"/>
      <c r="B59"/>
      <c r="C59"/>
      <c r="D59"/>
      <c r="E59"/>
      <c r="F59"/>
      <c r="G59" t="inlineStr">
        <is>
          <t>No empezada</t>
        </is>
      </c>
      <c r="H59" t="inlineStr">
        <is>
          <t>Pendiente</t>
        </is>
      </c>
      <c r="I59"/>
      <c r="J59"/>
      <c r="K59"/>
      <c r="L59">
        <f>IF(AND(ISNUMBER(J59),ISNUMBER(K59)),J59*K59/100,"")</f>
      </c>
      <c r="M59"/>
    </row>
    <row r="60">
      <c r="A60"/>
      <c r="B60"/>
      <c r="C60"/>
      <c r="D60"/>
      <c r="E60"/>
      <c r="F60"/>
      <c r="G60" t="inlineStr">
        <is>
          <t>No empezada</t>
        </is>
      </c>
      <c r="H60" t="inlineStr">
        <is>
          <t>Pendiente</t>
        </is>
      </c>
      <c r="I60"/>
      <c r="J60"/>
      <c r="K60"/>
      <c r="L60">
        <f>IF(AND(ISNUMBER(J60),ISNUMBER(K60)),J60*K60/100,"")</f>
      </c>
      <c r="M60"/>
    </row>
    <row r="61">
      <c r="A61"/>
      <c r="B61"/>
      <c r="C61"/>
      <c r="D61"/>
      <c r="E61"/>
      <c r="F61"/>
      <c r="G61" t="inlineStr">
        <is>
          <t>No empezada</t>
        </is>
      </c>
      <c r="H61" t="inlineStr">
        <is>
          <t>Pendiente</t>
        </is>
      </c>
      <c r="I61"/>
      <c r="J61"/>
      <c r="K61"/>
      <c r="L61">
        <f>IF(AND(ISNUMBER(J61),ISNUMBER(K61)),J61*K61/100,"")</f>
      </c>
      <c r="M61"/>
    </row>
    <row r="62">
      <c r="A62"/>
      <c r="B62"/>
      <c r="C62"/>
      <c r="D62"/>
      <c r="E62"/>
      <c r="F62"/>
      <c r="G62" t="inlineStr">
        <is>
          <t>No empezada</t>
        </is>
      </c>
      <c r="H62" t="inlineStr">
        <is>
          <t>Pendiente</t>
        </is>
      </c>
      <c r="I62"/>
      <c r="J62"/>
      <c r="K62"/>
      <c r="L62">
        <f>IF(AND(ISNUMBER(J62),ISNUMBER(K62)),J62*K62/100,"")</f>
      </c>
      <c r="M62"/>
    </row>
    <row r="63">
      <c r="A63"/>
      <c r="B63"/>
      <c r="C63"/>
      <c r="D63"/>
      <c r="E63"/>
      <c r="F63"/>
      <c r="G63" t="inlineStr">
        <is>
          <t>No empezada</t>
        </is>
      </c>
      <c r="H63" t="inlineStr">
        <is>
          <t>Pendiente</t>
        </is>
      </c>
      <c r="I63"/>
      <c r="J63"/>
      <c r="K63"/>
      <c r="L63">
        <f>IF(AND(ISNUMBER(J63),ISNUMBER(K63)),J63*K63/100,"")</f>
      </c>
      <c r="M63"/>
    </row>
    <row r="64">
      <c r="A64"/>
      <c r="B64"/>
      <c r="C64"/>
      <c r="D64"/>
      <c r="E64"/>
      <c r="F64"/>
      <c r="G64" t="inlineStr">
        <is>
          <t>No empezada</t>
        </is>
      </c>
      <c r="H64" t="inlineStr">
        <is>
          <t>Pendiente</t>
        </is>
      </c>
      <c r="I64"/>
      <c r="J64"/>
      <c r="K64"/>
      <c r="L64">
        <f>IF(AND(ISNUMBER(J64),ISNUMBER(K64)),J64*K64/100,"")</f>
      </c>
      <c r="M64"/>
    </row>
    <row r="65">
      <c r="A65"/>
      <c r="B65"/>
      <c r="C65"/>
      <c r="D65"/>
      <c r="E65"/>
      <c r="F65"/>
      <c r="G65" t="inlineStr">
        <is>
          <t>No empezada</t>
        </is>
      </c>
      <c r="H65" t="inlineStr">
        <is>
          <t>Pendiente</t>
        </is>
      </c>
      <c r="I65"/>
      <c r="J65"/>
      <c r="K65"/>
      <c r="L65">
        <f>IF(AND(ISNUMBER(J65),ISNUMBER(K65)),J65*K65/100,"")</f>
      </c>
      <c r="M65"/>
    </row>
    <row r="66">
      <c r="A66"/>
      <c r="B66"/>
      <c r="C66"/>
      <c r="D66"/>
      <c r="E66"/>
      <c r="F66"/>
      <c r="G66" t="inlineStr">
        <is>
          <t>No empezada</t>
        </is>
      </c>
      <c r="H66" t="inlineStr">
        <is>
          <t>Pendiente</t>
        </is>
      </c>
      <c r="I66"/>
      <c r="J66"/>
      <c r="K66"/>
      <c r="L66">
        <f>IF(AND(ISNUMBER(J66),ISNUMBER(K66)),J66*K66/100,"")</f>
      </c>
      <c r="M66"/>
    </row>
    <row r="67">
      <c r="A67"/>
      <c r="B67"/>
      <c r="C67"/>
      <c r="D67"/>
      <c r="E67"/>
      <c r="F67"/>
      <c r="G67" t="inlineStr">
        <is>
          <t>No empezada</t>
        </is>
      </c>
      <c r="H67" t="inlineStr">
        <is>
          <t>Pendiente</t>
        </is>
      </c>
      <c r="I67"/>
      <c r="J67"/>
      <c r="K67"/>
      <c r="L67">
        <f>IF(AND(ISNUMBER(J67),ISNUMBER(K67)),J67*K67/100,"")</f>
      </c>
      <c r="M67"/>
    </row>
    <row r="68">
      <c r="A68"/>
      <c r="B68"/>
      <c r="C68"/>
      <c r="D68"/>
      <c r="E68"/>
      <c r="F68"/>
      <c r="G68" t="inlineStr">
        <is>
          <t>No empezada</t>
        </is>
      </c>
      <c r="H68" t="inlineStr">
        <is>
          <t>Pendiente</t>
        </is>
      </c>
      <c r="I68"/>
      <c r="J68"/>
      <c r="K68"/>
      <c r="L68">
        <f>IF(AND(ISNUMBER(J68),ISNUMBER(K68)),J68*K68/100,"")</f>
      </c>
      <c r="M68"/>
    </row>
    <row r="69">
      <c r="A69"/>
      <c r="B69"/>
      <c r="C69"/>
      <c r="D69"/>
      <c r="E69"/>
      <c r="F69"/>
      <c r="G69" t="inlineStr">
        <is>
          <t>No empezada</t>
        </is>
      </c>
      <c r="H69" t="inlineStr">
        <is>
          <t>Pendiente</t>
        </is>
      </c>
      <c r="I69"/>
      <c r="J69"/>
      <c r="K69"/>
      <c r="L69">
        <f>IF(AND(ISNUMBER(J69),ISNUMBER(K69)),J69*K69/100,"")</f>
      </c>
      <c r="M69"/>
    </row>
    <row r="70">
      <c r="A70"/>
      <c r="B70"/>
      <c r="C70"/>
      <c r="D70"/>
      <c r="E70"/>
      <c r="F70"/>
      <c r="G70" t="inlineStr">
        <is>
          <t>No empezada</t>
        </is>
      </c>
      <c r="H70" t="inlineStr">
        <is>
          <t>Pendiente</t>
        </is>
      </c>
      <c r="I70"/>
      <c r="J70"/>
      <c r="K70"/>
      <c r="L70">
        <f>IF(AND(ISNUMBER(J70),ISNUMBER(K70)),J70*K70/100,"")</f>
      </c>
      <c r="M70"/>
    </row>
    <row r="71">
      <c r="A71"/>
      <c r="B71"/>
      <c r="C71"/>
      <c r="D71"/>
      <c r="E71"/>
      <c r="F71"/>
      <c r="G71" t="inlineStr">
        <is>
          <t>No empezada</t>
        </is>
      </c>
      <c r="H71" t="inlineStr">
        <is>
          <t>Pendiente</t>
        </is>
      </c>
      <c r="I71"/>
      <c r="J71"/>
      <c r="K71"/>
      <c r="L71">
        <f>IF(AND(ISNUMBER(J71),ISNUMBER(K71)),J71*K71/100,"")</f>
      </c>
      <c r="M71"/>
    </row>
    <row r="72">
      <c r="A72"/>
      <c r="B72"/>
      <c r="C72"/>
      <c r="D72"/>
      <c r="E72"/>
      <c r="F72"/>
      <c r="G72" t="inlineStr">
        <is>
          <t>No empezada</t>
        </is>
      </c>
      <c r="H72" t="inlineStr">
        <is>
          <t>Pendiente</t>
        </is>
      </c>
      <c r="I72"/>
      <c r="J72"/>
      <c r="K72"/>
      <c r="L72">
        <f>IF(AND(ISNUMBER(J72),ISNUMBER(K72)),J72*K72/100,"")</f>
      </c>
      <c r="M72"/>
    </row>
    <row r="73">
      <c r="A73"/>
      <c r="B73"/>
      <c r="C73"/>
      <c r="D73"/>
      <c r="E73"/>
      <c r="F73"/>
      <c r="G73" t="inlineStr">
        <is>
          <t>No empezada</t>
        </is>
      </c>
      <c r="H73" t="inlineStr">
        <is>
          <t>Pendiente</t>
        </is>
      </c>
      <c r="I73"/>
      <c r="J73"/>
      <c r="K73"/>
      <c r="L73">
        <f>IF(AND(ISNUMBER(J73),ISNUMBER(K73)),J73*K73/100,"")</f>
      </c>
      <c r="M73"/>
    </row>
    <row r="74">
      <c r="A74"/>
      <c r="B74"/>
      <c r="C74"/>
      <c r="D74"/>
      <c r="E74"/>
      <c r="F74"/>
      <c r="G74" t="inlineStr">
        <is>
          <t>No empezada</t>
        </is>
      </c>
      <c r="H74" t="inlineStr">
        <is>
          <t>Pendiente</t>
        </is>
      </c>
      <c r="I74"/>
      <c r="J74"/>
      <c r="K74"/>
      <c r="L74">
        <f>IF(AND(ISNUMBER(J74),ISNUMBER(K74)),J74*K74/100,"")</f>
      </c>
      <c r="M74"/>
    </row>
    <row r="75">
      <c r="A75"/>
      <c r="B75"/>
      <c r="C75"/>
      <c r="D75"/>
      <c r="E75"/>
      <c r="F75"/>
      <c r="G75" t="inlineStr">
        <is>
          <t>No empezada</t>
        </is>
      </c>
      <c r="H75" t="inlineStr">
        <is>
          <t>Pendiente</t>
        </is>
      </c>
      <c r="I75"/>
      <c r="J75"/>
      <c r="K75"/>
      <c r="L75">
        <f>IF(AND(ISNUMBER(J75),ISNUMBER(K75)),J75*K75/100,"")</f>
      </c>
      <c r="M75"/>
    </row>
    <row r="76">
      <c r="A76"/>
      <c r="B76"/>
      <c r="C76"/>
      <c r="D76"/>
      <c r="E76"/>
      <c r="F76"/>
      <c r="G76" t="inlineStr">
        <is>
          <t>No empezada</t>
        </is>
      </c>
      <c r="H76" t="inlineStr">
        <is>
          <t>Pendiente</t>
        </is>
      </c>
      <c r="I76"/>
      <c r="J76"/>
      <c r="K76"/>
      <c r="L76">
        <f>IF(AND(ISNUMBER(J76),ISNUMBER(K76)),J76*K76/100,"")</f>
      </c>
      <c r="M76"/>
    </row>
    <row r="77">
      <c r="A77"/>
      <c r="B77"/>
      <c r="C77"/>
      <c r="D77"/>
      <c r="E77"/>
      <c r="F77"/>
      <c r="G77" t="inlineStr">
        <is>
          <t>No empezada</t>
        </is>
      </c>
      <c r="H77" t="inlineStr">
        <is>
          <t>Pendiente</t>
        </is>
      </c>
      <c r="I77"/>
      <c r="J77"/>
      <c r="K77"/>
      <c r="L77">
        <f>IF(AND(ISNUMBER(J77),ISNUMBER(K77)),J77*K77/100,"")</f>
      </c>
      <c r="M77"/>
    </row>
    <row r="78">
      <c r="A78"/>
      <c r="B78"/>
      <c r="C78"/>
      <c r="D78"/>
      <c r="E78"/>
      <c r="F78"/>
      <c r="G78" t="inlineStr">
        <is>
          <t>No empezada</t>
        </is>
      </c>
      <c r="H78" t="inlineStr">
        <is>
          <t>Pendiente</t>
        </is>
      </c>
      <c r="I78"/>
      <c r="J78"/>
      <c r="K78"/>
      <c r="L78">
        <f>IF(AND(ISNUMBER(J78),ISNUMBER(K78)),J78*K78/100,"")</f>
      </c>
      <c r="M78"/>
    </row>
    <row r="79">
      <c r="A79"/>
      <c r="B79"/>
      <c r="C79"/>
      <c r="D79"/>
      <c r="E79"/>
      <c r="F79"/>
      <c r="G79" t="inlineStr">
        <is>
          <t>No empezada</t>
        </is>
      </c>
      <c r="H79" t="inlineStr">
        <is>
          <t>Pendiente</t>
        </is>
      </c>
      <c r="I79"/>
      <c r="J79"/>
      <c r="K79"/>
      <c r="L79">
        <f>IF(AND(ISNUMBER(J79),ISNUMBER(K79)),J79*K79/100,"")</f>
      </c>
      <c r="M79"/>
    </row>
    <row r="80">
      <c r="A80"/>
      <c r="B80"/>
      <c r="C80"/>
      <c r="D80"/>
      <c r="E80"/>
      <c r="F80"/>
      <c r="G80" t="inlineStr">
        <is>
          <t>No empezada</t>
        </is>
      </c>
      <c r="H80" t="inlineStr">
        <is>
          <t>Pendiente</t>
        </is>
      </c>
      <c r="I80"/>
      <c r="J80"/>
      <c r="K80"/>
      <c r="L80">
        <f>IF(AND(ISNUMBER(J80),ISNUMBER(K80)),J80*K80/100,"")</f>
      </c>
      <c r="M80"/>
    </row>
    <row r="81">
      <c r="A81"/>
      <c r="B81"/>
      <c r="C81"/>
      <c r="D81"/>
      <c r="E81"/>
      <c r="F81"/>
      <c r="G81" t="inlineStr">
        <is>
          <t>No empezada</t>
        </is>
      </c>
      <c r="H81" t="inlineStr">
        <is>
          <t>Pendiente</t>
        </is>
      </c>
      <c r="I81"/>
      <c r="J81"/>
      <c r="K81"/>
      <c r="L81">
        <f>IF(AND(ISNUMBER(J81),ISNUMBER(K81)),J81*K81/100,"")</f>
      </c>
      <c r="M81"/>
    </row>
    <row r="82">
      <c r="A82"/>
      <c r="B82"/>
      <c r="C82"/>
      <c r="D82"/>
      <c r="E82"/>
      <c r="F82"/>
      <c r="G82" t="inlineStr">
        <is>
          <t>No empezada</t>
        </is>
      </c>
      <c r="H82" t="inlineStr">
        <is>
          <t>Pendiente</t>
        </is>
      </c>
      <c r="I82"/>
      <c r="J82"/>
      <c r="K82"/>
      <c r="L82">
        <f>IF(AND(ISNUMBER(J82),ISNUMBER(K82)),J82*K82/100,"")</f>
      </c>
      <c r="M82"/>
    </row>
    <row r="83">
      <c r="A83"/>
      <c r="B83"/>
      <c r="C83"/>
      <c r="D83"/>
      <c r="E83"/>
      <c r="F83"/>
      <c r="G83" t="inlineStr">
        <is>
          <t>No empezada</t>
        </is>
      </c>
      <c r="H83" t="inlineStr">
        <is>
          <t>Pendiente</t>
        </is>
      </c>
      <c r="I83"/>
      <c r="J83"/>
      <c r="K83"/>
      <c r="L83">
        <f>IF(AND(ISNUMBER(J83),ISNUMBER(K83)),J83*K83/100,"")</f>
      </c>
      <c r="M83"/>
    </row>
    <row r="84">
      <c r="A84"/>
      <c r="B84"/>
      <c r="C84"/>
      <c r="D84"/>
      <c r="E84"/>
      <c r="F84"/>
      <c r="G84" t="inlineStr">
        <is>
          <t>No empezada</t>
        </is>
      </c>
      <c r="H84" t="inlineStr">
        <is>
          <t>Pendiente</t>
        </is>
      </c>
      <c r="I84"/>
      <c r="J84"/>
      <c r="K84"/>
      <c r="L84">
        <f>IF(AND(ISNUMBER(J84),ISNUMBER(K84)),J84*K84/100,"")</f>
      </c>
      <c r="M84"/>
    </row>
    <row r="85">
      <c r="A85"/>
      <c r="B85"/>
      <c r="C85"/>
      <c r="D85"/>
      <c r="E85"/>
      <c r="F85"/>
      <c r="G85" t="inlineStr">
        <is>
          <t>No empezada</t>
        </is>
      </c>
      <c r="H85" t="inlineStr">
        <is>
          <t>Pendiente</t>
        </is>
      </c>
      <c r="I85"/>
      <c r="J85"/>
      <c r="K85"/>
      <c r="L85">
        <f>IF(AND(ISNUMBER(J85),ISNUMBER(K85)),J85*K85/100,"")</f>
      </c>
      <c r="M85"/>
    </row>
    <row r="86">
      <c r="A86"/>
      <c r="B86"/>
      <c r="C86"/>
      <c r="D86"/>
      <c r="E86"/>
      <c r="F86"/>
      <c r="G86" t="inlineStr">
        <is>
          <t>No empezada</t>
        </is>
      </c>
      <c r="H86" t="inlineStr">
        <is>
          <t>Pendiente</t>
        </is>
      </c>
      <c r="I86"/>
      <c r="J86"/>
      <c r="K86"/>
      <c r="L86">
        <f>IF(AND(ISNUMBER(J86),ISNUMBER(K86)),J86*K86/100,"")</f>
      </c>
      <c r="M86"/>
    </row>
    <row r="87">
      <c r="A87"/>
      <c r="B87"/>
      <c r="C87"/>
      <c r="D87"/>
      <c r="E87"/>
      <c r="F87"/>
      <c r="G87" t="inlineStr">
        <is>
          <t>No empezada</t>
        </is>
      </c>
      <c r="H87" t="inlineStr">
        <is>
          <t>Pendiente</t>
        </is>
      </c>
      <c r="I87"/>
      <c r="J87"/>
      <c r="K87"/>
      <c r="L87">
        <f>IF(AND(ISNUMBER(J87),ISNUMBER(K87)),J87*K87/100,"")</f>
      </c>
      <c r="M87"/>
    </row>
    <row r="88">
      <c r="A88"/>
      <c r="B88"/>
      <c r="C88"/>
      <c r="D88"/>
      <c r="E88"/>
      <c r="F88"/>
      <c r="G88" t="inlineStr">
        <is>
          <t>No empezada</t>
        </is>
      </c>
      <c r="H88" t="inlineStr">
        <is>
          <t>Pendiente</t>
        </is>
      </c>
      <c r="I88"/>
      <c r="J88"/>
      <c r="K88"/>
      <c r="L88">
        <f>IF(AND(ISNUMBER(J88),ISNUMBER(K88)),J88*K88/100,"")</f>
      </c>
      <c r="M88"/>
    </row>
    <row r="89">
      <c r="A89"/>
      <c r="B89"/>
      <c r="C89"/>
      <c r="D89"/>
      <c r="E89"/>
      <c r="F89"/>
      <c r="G89" t="inlineStr">
        <is>
          <t>No empezada</t>
        </is>
      </c>
      <c r="H89" t="inlineStr">
        <is>
          <t>Pendiente</t>
        </is>
      </c>
      <c r="I89"/>
      <c r="J89"/>
      <c r="K89"/>
      <c r="L89">
        <f>IF(AND(ISNUMBER(J89),ISNUMBER(K89)),J89*K89/100,"")</f>
      </c>
      <c r="M89"/>
    </row>
    <row r="90">
      <c r="A90"/>
      <c r="B90"/>
      <c r="C90"/>
      <c r="D90"/>
      <c r="E90"/>
      <c r="F90"/>
      <c r="G90" t="inlineStr">
        <is>
          <t>No empezada</t>
        </is>
      </c>
      <c r="H90" t="inlineStr">
        <is>
          <t>Pendiente</t>
        </is>
      </c>
      <c r="I90"/>
      <c r="J90"/>
      <c r="K90"/>
      <c r="L90">
        <f>IF(AND(ISNUMBER(J90),ISNUMBER(K90)),J90*K90/100,"")</f>
      </c>
      <c r="M90"/>
    </row>
    <row r="91">
      <c r="A91"/>
      <c r="B91"/>
      <c r="C91"/>
      <c r="D91"/>
      <c r="E91"/>
      <c r="F91"/>
      <c r="G91" t="inlineStr">
        <is>
          <t>No empezada</t>
        </is>
      </c>
      <c r="H91" t="inlineStr">
        <is>
          <t>Pendiente</t>
        </is>
      </c>
      <c r="I91"/>
      <c r="J91"/>
      <c r="K91"/>
      <c r="L91">
        <f>IF(AND(ISNUMBER(J91),ISNUMBER(K91)),J91*K91/100,"")</f>
      </c>
      <c r="M91"/>
    </row>
    <row r="92">
      <c r="A92"/>
      <c r="B92"/>
      <c r="C92"/>
      <c r="D92"/>
      <c r="E92"/>
      <c r="F92"/>
      <c r="G92" t="inlineStr">
        <is>
          <t>No empezada</t>
        </is>
      </c>
      <c r="H92" t="inlineStr">
        <is>
          <t>Pendiente</t>
        </is>
      </c>
      <c r="I92"/>
      <c r="J92"/>
      <c r="K92"/>
      <c r="L92">
        <f>IF(AND(ISNUMBER(J92),ISNUMBER(K92)),J92*K92/100,"")</f>
      </c>
      <c r="M92"/>
    </row>
    <row r="93">
      <c r="A93"/>
      <c r="B93"/>
      <c r="C93"/>
      <c r="D93"/>
      <c r="E93"/>
      <c r="F93"/>
      <c r="G93" t="inlineStr">
        <is>
          <t>No empezada</t>
        </is>
      </c>
      <c r="H93" t="inlineStr">
        <is>
          <t>Pendiente</t>
        </is>
      </c>
      <c r="I93"/>
      <c r="J93"/>
      <c r="K93"/>
      <c r="L93">
        <f>IF(AND(ISNUMBER(J93),ISNUMBER(K93)),J93*K93/100,"")</f>
      </c>
      <c r="M93"/>
    </row>
    <row r="94">
      <c r="A94"/>
      <c r="B94"/>
      <c r="C94"/>
      <c r="D94"/>
      <c r="E94"/>
      <c r="F94"/>
      <c r="G94" t="inlineStr">
        <is>
          <t>No empezada</t>
        </is>
      </c>
      <c r="H94" t="inlineStr">
        <is>
          <t>Pendiente</t>
        </is>
      </c>
      <c r="I94"/>
      <c r="J94"/>
      <c r="K94"/>
      <c r="L94">
        <f>IF(AND(ISNUMBER(J94),ISNUMBER(K94)),J94*K94/100,"")</f>
      </c>
      <c r="M94"/>
    </row>
    <row r="95">
      <c r="A95"/>
      <c r="B95"/>
      <c r="C95"/>
      <c r="D95"/>
      <c r="E95"/>
      <c r="F95"/>
      <c r="G95" t="inlineStr">
        <is>
          <t>No empezada</t>
        </is>
      </c>
      <c r="H95" t="inlineStr">
        <is>
          <t>Pendiente</t>
        </is>
      </c>
      <c r="I95"/>
      <c r="J95"/>
      <c r="K95"/>
      <c r="L95">
        <f>IF(AND(ISNUMBER(J95),ISNUMBER(K95)),J95*K95/100,"")</f>
      </c>
      <c r="M95"/>
    </row>
    <row r="96">
      <c r="A96"/>
      <c r="B96"/>
      <c r="C96"/>
      <c r="D96"/>
      <c r="E96"/>
      <c r="F96"/>
      <c r="G96" t="inlineStr">
        <is>
          <t>No empezada</t>
        </is>
      </c>
      <c r="H96" t="inlineStr">
        <is>
          <t>Pendiente</t>
        </is>
      </c>
      <c r="I96"/>
      <c r="J96"/>
      <c r="K96"/>
      <c r="L96">
        <f>IF(AND(ISNUMBER(J96),ISNUMBER(K96)),J96*K96/100,"")</f>
      </c>
      <c r="M96"/>
    </row>
    <row r="97">
      <c r="A97"/>
      <c r="B97"/>
      <c r="C97"/>
      <c r="D97"/>
      <c r="E97"/>
      <c r="F97"/>
      <c r="G97" t="inlineStr">
        <is>
          <t>No empezada</t>
        </is>
      </c>
      <c r="H97" t="inlineStr">
        <is>
          <t>Pendiente</t>
        </is>
      </c>
      <c r="I97"/>
      <c r="J97"/>
      <c r="K97"/>
      <c r="L97">
        <f>IF(AND(ISNUMBER(J97),ISNUMBER(K97)),J97*K97/100,"")</f>
      </c>
      <c r="M97"/>
    </row>
    <row r="98">
      <c r="A98"/>
      <c r="B98"/>
      <c r="C98"/>
      <c r="D98"/>
      <c r="E98"/>
      <c r="F98"/>
      <c r="G98" t="inlineStr">
        <is>
          <t>No empezada</t>
        </is>
      </c>
      <c r="H98" t="inlineStr">
        <is>
          <t>Pendiente</t>
        </is>
      </c>
      <c r="I98"/>
      <c r="J98"/>
      <c r="K98"/>
      <c r="L98">
        <f>IF(AND(ISNUMBER(J98),ISNUMBER(K98)),J98*K98/100,"")</f>
      </c>
      <c r="M98"/>
    </row>
    <row r="99">
      <c r="A99"/>
      <c r="B99"/>
      <c r="C99"/>
      <c r="D99"/>
      <c r="E99"/>
      <c r="F99"/>
      <c r="G99" t="inlineStr">
        <is>
          <t>No empezada</t>
        </is>
      </c>
      <c r="H99" t="inlineStr">
        <is>
          <t>Pendiente</t>
        </is>
      </c>
      <c r="I99"/>
      <c r="J99"/>
      <c r="K99"/>
      <c r="L99">
        <f>IF(AND(ISNUMBER(J99),ISNUMBER(K99)),J99*K99/100,"")</f>
      </c>
      <c r="M99"/>
    </row>
    <row r="100">
      <c r="A100"/>
      <c r="B100"/>
      <c r="C100"/>
      <c r="D100"/>
      <c r="E100"/>
      <c r="F100"/>
      <c r="G100" t="inlineStr">
        <is>
          <t>No empezada</t>
        </is>
      </c>
      <c r="H100" t="inlineStr">
        <is>
          <t>Pendiente</t>
        </is>
      </c>
      <c r="I100"/>
      <c r="J100"/>
      <c r="K100"/>
      <c r="L100">
        <f>IF(AND(ISNUMBER(J100),ISNUMBER(K100)),J100*K100/100,"")</f>
      </c>
      <c r="M100"/>
    </row>
    <row r="101">
      <c r="A101"/>
      <c r="B101"/>
      <c r="C101"/>
      <c r="D101"/>
      <c r="E101"/>
      <c r="F101"/>
      <c r="G101" t="inlineStr">
        <is>
          <t>No empezada</t>
        </is>
      </c>
      <c r="H101" t="inlineStr">
        <is>
          <t>Pendiente</t>
        </is>
      </c>
      <c r="I101"/>
      <c r="J101"/>
      <c r="K101"/>
      <c r="L101">
        <f>IF(AND(ISNUMBER(J101),ISNUMBER(K101)),J101*K101/100,"")</f>
      </c>
      <c r="M101"/>
    </row>
    <row r="102">
      <c r="A102"/>
      <c r="B102"/>
      <c r="C102"/>
      <c r="D102"/>
      <c r="E102"/>
      <c r="F102"/>
      <c r="G102" t="inlineStr">
        <is>
          <t>No empezada</t>
        </is>
      </c>
      <c r="H102" t="inlineStr">
        <is>
          <t>Pendiente</t>
        </is>
      </c>
      <c r="I102"/>
      <c r="J102"/>
      <c r="K102"/>
      <c r="L102">
        <f>IF(AND(ISNUMBER(J102),ISNUMBER(K102)),J102*K102/100,"")</f>
      </c>
      <c r="M102"/>
    </row>
    <row r="103">
      <c r="A103"/>
      <c r="B103"/>
      <c r="C103"/>
      <c r="D103"/>
      <c r="E103"/>
      <c r="F103"/>
      <c r="G103" t="inlineStr">
        <is>
          <t>No empezada</t>
        </is>
      </c>
      <c r="H103" t="inlineStr">
        <is>
          <t>Pendiente</t>
        </is>
      </c>
      <c r="I103"/>
      <c r="J103"/>
      <c r="K103"/>
      <c r="L103">
        <f>IF(AND(ISNUMBER(J103),ISNUMBER(K103)),J103*K103/100,"")</f>
      </c>
      <c r="M103"/>
    </row>
    <row r="104">
      <c r="A104"/>
      <c r="B104"/>
      <c r="C104"/>
      <c r="D104"/>
      <c r="E104"/>
      <c r="F104"/>
      <c r="G104" t="inlineStr">
        <is>
          <t>No empezada</t>
        </is>
      </c>
      <c r="H104" t="inlineStr">
        <is>
          <t>Pendiente</t>
        </is>
      </c>
      <c r="I104"/>
      <c r="J104"/>
      <c r="K104"/>
      <c r="L104">
        <f>IF(AND(ISNUMBER(J104),ISNUMBER(K104)),J104*K104/100,"")</f>
      </c>
      <c r="M104"/>
    </row>
    <row r="105">
      <c r="A105"/>
      <c r="B105"/>
      <c r="C105"/>
      <c r="D105"/>
      <c r="E105"/>
      <c r="F105"/>
      <c r="G105" t="inlineStr">
        <is>
          <t>No empezada</t>
        </is>
      </c>
      <c r="H105" t="inlineStr">
        <is>
          <t>Pendiente</t>
        </is>
      </c>
      <c r="I105"/>
      <c r="J105"/>
      <c r="K105"/>
      <c r="L105">
        <f>IF(AND(ISNUMBER(J105),ISNUMBER(K105)),J105*K105/100,"")</f>
      </c>
      <c r="M105"/>
    </row>
    <row r="106">
      <c r="A106"/>
      <c r="B106"/>
      <c r="C106"/>
      <c r="D106"/>
      <c r="E106"/>
      <c r="F106"/>
      <c r="G106" t="inlineStr">
        <is>
          <t>No empezada</t>
        </is>
      </c>
      <c r="H106" t="inlineStr">
        <is>
          <t>Pendiente</t>
        </is>
      </c>
      <c r="I106"/>
      <c r="J106"/>
      <c r="K106"/>
      <c r="L106">
        <f>IF(AND(ISNUMBER(J106),ISNUMBER(K106)),J106*K106/100,"")</f>
      </c>
      <c r="M106"/>
    </row>
    <row r="107">
      <c r="A107"/>
      <c r="B107"/>
      <c r="C107"/>
      <c r="D107"/>
      <c r="E107"/>
      <c r="F107"/>
      <c r="G107" t="inlineStr">
        <is>
          <t>No empezada</t>
        </is>
      </c>
      <c r="H107" t="inlineStr">
        <is>
          <t>Pendiente</t>
        </is>
      </c>
      <c r="I107"/>
      <c r="J107"/>
      <c r="K107"/>
      <c r="L107">
        <f>IF(AND(ISNUMBER(J107),ISNUMBER(K107)),J107*K107/100,"")</f>
      </c>
      <c r="M107"/>
    </row>
    <row r="108">
      <c r="A108"/>
      <c r="B108"/>
      <c r="C108"/>
      <c r="D108"/>
      <c r="E108"/>
      <c r="F108"/>
      <c r="G108" t="inlineStr">
        <is>
          <t>No empezada</t>
        </is>
      </c>
      <c r="H108" t="inlineStr">
        <is>
          <t>Pendiente</t>
        </is>
      </c>
      <c r="I108"/>
      <c r="J108"/>
      <c r="K108"/>
      <c r="L108">
        <f>IF(AND(ISNUMBER(J108),ISNUMBER(K108)),J108*K108/100,"")</f>
      </c>
      <c r="M108"/>
    </row>
    <row r="109">
      <c r="A109"/>
      <c r="B109"/>
      <c r="C109"/>
      <c r="D109"/>
      <c r="E109"/>
      <c r="F109"/>
      <c r="G109" t="inlineStr">
        <is>
          <t>No empezada</t>
        </is>
      </c>
      <c r="H109" t="inlineStr">
        <is>
          <t>Pendiente</t>
        </is>
      </c>
      <c r="I109"/>
      <c r="J109"/>
      <c r="K109"/>
      <c r="L109">
        <f>IF(AND(ISNUMBER(J109),ISNUMBER(K109)),J109*K109/100,"")</f>
      </c>
      <c r="M109"/>
    </row>
    <row r="110">
      <c r="A110"/>
      <c r="B110"/>
      <c r="C110"/>
      <c r="D110"/>
      <c r="E110"/>
      <c r="F110"/>
      <c r="G110" t="inlineStr">
        <is>
          <t>No empezada</t>
        </is>
      </c>
      <c r="H110" t="inlineStr">
        <is>
          <t>Pendiente</t>
        </is>
      </c>
      <c r="I110"/>
      <c r="J110"/>
      <c r="K110"/>
      <c r="L110">
        <f>IF(AND(ISNUMBER(J110),ISNUMBER(K110)),J110*K110/100,"")</f>
      </c>
      <c r="M110"/>
    </row>
    <row r="111">
      <c r="A111"/>
      <c r="B111"/>
      <c r="C111"/>
      <c r="D111"/>
      <c r="E111"/>
      <c r="F111"/>
      <c r="G111" t="inlineStr">
        <is>
          <t>No empezada</t>
        </is>
      </c>
      <c r="H111" t="inlineStr">
        <is>
          <t>Pendiente</t>
        </is>
      </c>
      <c r="I111"/>
      <c r="J111"/>
      <c r="K111"/>
      <c r="L111">
        <f>IF(AND(ISNUMBER(J111),ISNUMBER(K111)),J111*K111/100,"")</f>
      </c>
      <c r="M111"/>
    </row>
    <row r="112">
      <c r="A112"/>
      <c r="B112"/>
      <c r="C112"/>
      <c r="D112"/>
      <c r="E112"/>
      <c r="F112"/>
      <c r="G112" t="inlineStr">
        <is>
          <t>No empezada</t>
        </is>
      </c>
      <c r="H112" t="inlineStr">
        <is>
          <t>Pendiente</t>
        </is>
      </c>
      <c r="I112"/>
      <c r="J112"/>
      <c r="K112"/>
      <c r="L112">
        <f>IF(AND(ISNUMBER(J112),ISNUMBER(K112)),J112*K112/100,"")</f>
      </c>
      <c r="M112"/>
    </row>
    <row r="113">
      <c r="A113"/>
      <c r="B113"/>
      <c r="C113"/>
      <c r="D113"/>
      <c r="E113"/>
      <c r="F113"/>
      <c r="G113" t="inlineStr">
        <is>
          <t>No empezada</t>
        </is>
      </c>
      <c r="H113" t="inlineStr">
        <is>
          <t>Pendiente</t>
        </is>
      </c>
      <c r="I113"/>
      <c r="J113"/>
      <c r="K113"/>
      <c r="L113">
        <f>IF(AND(ISNUMBER(J113),ISNUMBER(K113)),J113*K113/100,"")</f>
      </c>
      <c r="M113"/>
    </row>
    <row r="114">
      <c r="A114"/>
      <c r="B114"/>
      <c r="C114"/>
      <c r="D114"/>
      <c r="E114"/>
      <c r="F114"/>
      <c r="G114" t="inlineStr">
        <is>
          <t>No empezada</t>
        </is>
      </c>
      <c r="H114" t="inlineStr">
        <is>
          <t>Pendiente</t>
        </is>
      </c>
      <c r="I114"/>
      <c r="J114"/>
      <c r="K114"/>
      <c r="L114">
        <f>IF(AND(ISNUMBER(J114),ISNUMBER(K114)),J114*K114/100,"")</f>
      </c>
      <c r="M114"/>
    </row>
    <row r="115">
      <c r="A115"/>
      <c r="B115"/>
      <c r="C115"/>
      <c r="D115"/>
      <c r="E115"/>
      <c r="F115"/>
      <c r="G115" t="inlineStr">
        <is>
          <t>No empezada</t>
        </is>
      </c>
      <c r="H115" t="inlineStr">
        <is>
          <t>Pendiente</t>
        </is>
      </c>
      <c r="I115"/>
      <c r="J115"/>
      <c r="K115"/>
      <c r="L115">
        <f>IF(AND(ISNUMBER(J115),ISNUMBER(K115)),J115*K115/100,"")</f>
      </c>
      <c r="M115"/>
    </row>
    <row r="116">
      <c r="A116"/>
      <c r="B116"/>
      <c r="C116"/>
      <c r="D116"/>
      <c r="E116"/>
      <c r="F116"/>
      <c r="G116" t="inlineStr">
        <is>
          <t>No empezada</t>
        </is>
      </c>
      <c r="H116" t="inlineStr">
        <is>
          <t>Pendiente</t>
        </is>
      </c>
      <c r="I116"/>
      <c r="J116"/>
      <c r="K116"/>
      <c r="L116">
        <f>IF(AND(ISNUMBER(J116),ISNUMBER(K116)),J116*K116/100,"")</f>
      </c>
      <c r="M116"/>
    </row>
    <row r="117">
      <c r="A117"/>
      <c r="B117"/>
      <c r="C117"/>
      <c r="D117"/>
      <c r="E117"/>
      <c r="F117"/>
      <c r="G117" t="inlineStr">
        <is>
          <t>No empezada</t>
        </is>
      </c>
      <c r="H117" t="inlineStr">
        <is>
          <t>Pendiente</t>
        </is>
      </c>
      <c r="I117"/>
      <c r="J117"/>
      <c r="K117"/>
      <c r="L117">
        <f>IF(AND(ISNUMBER(J117),ISNUMBER(K117)),J117*K117/100,"")</f>
      </c>
      <c r="M117"/>
    </row>
    <row r="118">
      <c r="A118"/>
      <c r="B118"/>
      <c r="C118"/>
      <c r="D118"/>
      <c r="E118"/>
      <c r="F118"/>
      <c r="G118" t="inlineStr">
        <is>
          <t>No empezada</t>
        </is>
      </c>
      <c r="H118" t="inlineStr">
        <is>
          <t>Pendiente</t>
        </is>
      </c>
      <c r="I118"/>
      <c r="J118"/>
      <c r="K118"/>
      <c r="L118">
        <f>IF(AND(ISNUMBER(J118),ISNUMBER(K118)),J118*K118/100,"")</f>
      </c>
      <c r="M118"/>
    </row>
    <row r="119">
      <c r="A119"/>
      <c r="B119"/>
      <c r="C119"/>
      <c r="D119"/>
      <c r="E119"/>
      <c r="F119"/>
      <c r="G119" t="inlineStr">
        <is>
          <t>No empezada</t>
        </is>
      </c>
      <c r="H119" t="inlineStr">
        <is>
          <t>Pendiente</t>
        </is>
      </c>
      <c r="I119"/>
      <c r="J119"/>
      <c r="K119"/>
      <c r="L119">
        <f>IF(AND(ISNUMBER(J119),ISNUMBER(K119)),J119*K119/100,"")</f>
      </c>
      <c r="M119"/>
    </row>
    <row r="120">
      <c r="A120"/>
      <c r="B120"/>
      <c r="C120"/>
      <c r="D120"/>
      <c r="E120"/>
      <c r="F120"/>
      <c r="G120" t="inlineStr">
        <is>
          <t>No empezada</t>
        </is>
      </c>
      <c r="H120" t="inlineStr">
        <is>
          <t>Pendiente</t>
        </is>
      </c>
      <c r="I120"/>
      <c r="J120"/>
      <c r="K120"/>
      <c r="L120">
        <f>IF(AND(ISNUMBER(J120),ISNUMBER(K120)),J120*K120/100,"")</f>
      </c>
      <c r="M120"/>
    </row>
    <row r="121">
      <c r="A121"/>
      <c r="B121"/>
      <c r="C121"/>
      <c r="D121"/>
      <c r="E121"/>
      <c r="F121"/>
      <c r="G121" t="inlineStr">
        <is>
          <t>No empezada</t>
        </is>
      </c>
      <c r="H121" t="inlineStr">
        <is>
          <t>Pendiente</t>
        </is>
      </c>
      <c r="I121"/>
      <c r="J121"/>
      <c r="K121"/>
      <c r="L121">
        <f>IF(AND(ISNUMBER(J121),ISNUMBER(K121)),J121*K121/100,"")</f>
      </c>
      <c r="M121"/>
    </row>
    <row r="122">
      <c r="A122"/>
      <c r="B122"/>
      <c r="C122"/>
      <c r="D122"/>
      <c r="E122"/>
      <c r="F122"/>
      <c r="G122" t="inlineStr">
        <is>
          <t>No empezada</t>
        </is>
      </c>
      <c r="H122" t="inlineStr">
        <is>
          <t>Pendiente</t>
        </is>
      </c>
      <c r="I122"/>
      <c r="J122"/>
      <c r="K122"/>
      <c r="L122">
        <f>IF(AND(ISNUMBER(J122),ISNUMBER(K122)),J122*K122/100,"")</f>
      </c>
      <c r="M122"/>
    </row>
    <row r="123">
      <c r="A123"/>
      <c r="B123"/>
      <c r="C123"/>
      <c r="D123"/>
      <c r="E123"/>
      <c r="F123"/>
      <c r="G123" t="inlineStr">
        <is>
          <t>No empezada</t>
        </is>
      </c>
      <c r="H123" t="inlineStr">
        <is>
          <t>Pendiente</t>
        </is>
      </c>
      <c r="I123"/>
      <c r="J123"/>
      <c r="K123"/>
      <c r="L123">
        <f>IF(AND(ISNUMBER(J123),ISNUMBER(K123)),J123*K123/100,"")</f>
      </c>
      <c r="M123"/>
    </row>
    <row r="124">
      <c r="A124"/>
      <c r="B124"/>
      <c r="C124"/>
      <c r="D124"/>
      <c r="E124"/>
      <c r="F124"/>
      <c r="G124" t="inlineStr">
        <is>
          <t>No empezada</t>
        </is>
      </c>
      <c r="H124" t="inlineStr">
        <is>
          <t>Pendiente</t>
        </is>
      </c>
      <c r="I124"/>
      <c r="J124"/>
      <c r="K124"/>
      <c r="L124">
        <f>IF(AND(ISNUMBER(J124),ISNUMBER(K124)),J124*K124/100,"")</f>
      </c>
      <c r="M124"/>
    </row>
    <row r="125">
      <c r="A125"/>
      <c r="B125"/>
      <c r="C125"/>
      <c r="D125"/>
      <c r="E125"/>
      <c r="F125"/>
      <c r="G125" t="inlineStr">
        <is>
          <t>No empezada</t>
        </is>
      </c>
      <c r="H125" t="inlineStr">
        <is>
          <t>Pendiente</t>
        </is>
      </c>
      <c r="I125"/>
      <c r="J125"/>
      <c r="K125"/>
      <c r="L125">
        <f>IF(AND(ISNUMBER(J125),ISNUMBER(K125)),J125*K125/100,"")</f>
      </c>
      <c r="M125"/>
    </row>
    <row r="126">
      <c r="A126"/>
      <c r="B126"/>
      <c r="C126"/>
      <c r="D126"/>
      <c r="E126"/>
      <c r="F126"/>
      <c r="G126" t="inlineStr">
        <is>
          <t>No empezada</t>
        </is>
      </c>
      <c r="H126" t="inlineStr">
        <is>
          <t>Pendiente</t>
        </is>
      </c>
      <c r="I126"/>
      <c r="J126"/>
      <c r="K126"/>
      <c r="L126">
        <f>IF(AND(ISNUMBER(J126),ISNUMBER(K126)),J126*K126/100,"")</f>
      </c>
      <c r="M126"/>
    </row>
    <row r="127">
      <c r="A127"/>
      <c r="B127"/>
      <c r="C127"/>
      <c r="D127"/>
      <c r="E127"/>
      <c r="F127"/>
      <c r="G127" t="inlineStr">
        <is>
          <t>No empezada</t>
        </is>
      </c>
      <c r="H127" t="inlineStr">
        <is>
          <t>Pendiente</t>
        </is>
      </c>
      <c r="I127"/>
      <c r="J127"/>
      <c r="K127"/>
      <c r="L127">
        <f>IF(AND(ISNUMBER(J127),ISNUMBER(K127)),J127*K127/100,"")</f>
      </c>
      <c r="M127"/>
    </row>
    <row r="128">
      <c r="A128"/>
      <c r="B128"/>
      <c r="C128"/>
      <c r="D128"/>
      <c r="E128"/>
      <c r="F128"/>
      <c r="G128" t="inlineStr">
        <is>
          <t>No empezada</t>
        </is>
      </c>
      <c r="H128" t="inlineStr">
        <is>
          <t>Pendiente</t>
        </is>
      </c>
      <c r="I128"/>
      <c r="J128"/>
      <c r="K128"/>
      <c r="L128">
        <f>IF(AND(ISNUMBER(J128),ISNUMBER(K128)),J128*K128/100,"")</f>
      </c>
      <c r="M128"/>
    </row>
    <row r="129">
      <c r="A129"/>
      <c r="B129"/>
      <c r="C129"/>
      <c r="D129"/>
      <c r="E129"/>
      <c r="F129"/>
      <c r="G129" t="inlineStr">
        <is>
          <t>No empezada</t>
        </is>
      </c>
      <c r="H129" t="inlineStr">
        <is>
          <t>Pendiente</t>
        </is>
      </c>
      <c r="I129"/>
      <c r="J129"/>
      <c r="K129"/>
      <c r="L129">
        <f>IF(AND(ISNUMBER(J129),ISNUMBER(K129)),J129*K129/100,"")</f>
      </c>
      <c r="M129"/>
    </row>
    <row r="130">
      <c r="A130"/>
      <c r="B130"/>
      <c r="C130"/>
      <c r="D130"/>
      <c r="E130"/>
      <c r="F130"/>
      <c r="G130" t="inlineStr">
        <is>
          <t>No empezada</t>
        </is>
      </c>
      <c r="H130" t="inlineStr">
        <is>
          <t>Pendiente</t>
        </is>
      </c>
      <c r="I130"/>
      <c r="J130"/>
      <c r="K130"/>
      <c r="L130">
        <f>IF(AND(ISNUMBER(J130),ISNUMBER(K130)),J130*K130/100,"")</f>
      </c>
      <c r="M130"/>
    </row>
    <row r="131">
      <c r="A131"/>
      <c r="B131"/>
      <c r="C131"/>
      <c r="D131"/>
      <c r="E131"/>
      <c r="F131"/>
      <c r="G131" t="inlineStr">
        <is>
          <t>No empezada</t>
        </is>
      </c>
      <c r="H131" t="inlineStr">
        <is>
          <t>Pendiente</t>
        </is>
      </c>
      <c r="I131"/>
      <c r="J131"/>
      <c r="K131"/>
      <c r="L131">
        <f>IF(AND(ISNUMBER(J131),ISNUMBER(K131)),J131*K131/100,"")</f>
      </c>
      <c r="M131"/>
    </row>
    <row r="132">
      <c r="A132"/>
      <c r="B132"/>
      <c r="C132"/>
      <c r="D132"/>
      <c r="E132"/>
      <c r="F132"/>
      <c r="G132" t="inlineStr">
        <is>
          <t>No empezada</t>
        </is>
      </c>
      <c r="H132" t="inlineStr">
        <is>
          <t>Pendiente</t>
        </is>
      </c>
      <c r="I132"/>
      <c r="J132"/>
      <c r="K132"/>
      <c r="L132">
        <f>IF(AND(ISNUMBER(J132),ISNUMBER(K132)),J132*K132/100,"")</f>
      </c>
      <c r="M132"/>
    </row>
    <row r="133">
      <c r="A133"/>
      <c r="B133"/>
      <c r="C133"/>
      <c r="D133"/>
      <c r="E133"/>
      <c r="F133"/>
      <c r="G133" t="inlineStr">
        <is>
          <t>No empezada</t>
        </is>
      </c>
      <c r="H133" t="inlineStr">
        <is>
          <t>Pendiente</t>
        </is>
      </c>
      <c r="I133"/>
      <c r="J133"/>
      <c r="K133"/>
      <c r="L133">
        <f>IF(AND(ISNUMBER(J133),ISNUMBER(K133)),J133*K133/100,"")</f>
      </c>
      <c r="M133"/>
    </row>
    <row r="134">
      <c r="A134"/>
      <c r="B134"/>
      <c r="C134"/>
      <c r="D134"/>
      <c r="E134"/>
      <c r="F134"/>
      <c r="G134" t="inlineStr">
        <is>
          <t>No empezada</t>
        </is>
      </c>
      <c r="H134" t="inlineStr">
        <is>
          <t>Pendiente</t>
        </is>
      </c>
      <c r="I134"/>
      <c r="J134"/>
      <c r="K134"/>
      <c r="L134">
        <f>IF(AND(ISNUMBER(J134),ISNUMBER(K134)),J134*K134/100,"")</f>
      </c>
      <c r="M134"/>
    </row>
    <row r="135">
      <c r="A135"/>
      <c r="B135"/>
      <c r="C135"/>
      <c r="D135"/>
      <c r="E135"/>
      <c r="F135"/>
      <c r="G135" t="inlineStr">
        <is>
          <t>No empezada</t>
        </is>
      </c>
      <c r="H135" t="inlineStr">
        <is>
          <t>Pendiente</t>
        </is>
      </c>
      <c r="I135"/>
      <c r="J135"/>
      <c r="K135"/>
      <c r="L135">
        <f>IF(AND(ISNUMBER(J135),ISNUMBER(K135)),J135*K135/100,"")</f>
      </c>
      <c r="M135"/>
    </row>
    <row r="136">
      <c r="A136"/>
      <c r="B136"/>
      <c r="C136"/>
      <c r="D136"/>
      <c r="E136"/>
      <c r="F136"/>
      <c r="G136" t="inlineStr">
        <is>
          <t>No empezada</t>
        </is>
      </c>
      <c r="H136" t="inlineStr">
        <is>
          <t>Pendiente</t>
        </is>
      </c>
      <c r="I136"/>
      <c r="J136"/>
      <c r="K136"/>
      <c r="L136">
        <f>IF(AND(ISNUMBER(J136),ISNUMBER(K136)),J136*K136/100,"")</f>
      </c>
      <c r="M136"/>
    </row>
    <row r="137">
      <c r="A137"/>
      <c r="B137"/>
      <c r="C137"/>
      <c r="D137"/>
      <c r="E137"/>
      <c r="F137"/>
      <c r="G137" t="inlineStr">
        <is>
          <t>No empezada</t>
        </is>
      </c>
      <c r="H137" t="inlineStr">
        <is>
          <t>Pendiente</t>
        </is>
      </c>
      <c r="I137"/>
      <c r="J137"/>
      <c r="K137"/>
      <c r="L137">
        <f>IF(AND(ISNUMBER(J137),ISNUMBER(K137)),J137*K137/100,"")</f>
      </c>
      <c r="M137"/>
    </row>
    <row r="138">
      <c r="A138"/>
      <c r="B138"/>
      <c r="C138"/>
      <c r="D138"/>
      <c r="E138"/>
      <c r="F138"/>
      <c r="G138" t="inlineStr">
        <is>
          <t>No empezada</t>
        </is>
      </c>
      <c r="H138" t="inlineStr">
        <is>
          <t>Pendiente</t>
        </is>
      </c>
      <c r="I138"/>
      <c r="J138"/>
      <c r="K138"/>
      <c r="L138">
        <f>IF(AND(ISNUMBER(J138),ISNUMBER(K138)),J138*K138/100,"")</f>
      </c>
      <c r="M138"/>
    </row>
    <row r="139">
      <c r="A139"/>
      <c r="B139"/>
      <c r="C139"/>
      <c r="D139"/>
      <c r="E139"/>
      <c r="F139"/>
      <c r="G139" t="inlineStr">
        <is>
          <t>No empezada</t>
        </is>
      </c>
      <c r="H139" t="inlineStr">
        <is>
          <t>Pendiente</t>
        </is>
      </c>
      <c r="I139"/>
      <c r="J139"/>
      <c r="K139"/>
      <c r="L139">
        <f>IF(AND(ISNUMBER(J139),ISNUMBER(K139)),J139*K139/100,"")</f>
      </c>
      <c r="M139"/>
    </row>
    <row r="140">
      <c r="A140"/>
      <c r="B140"/>
      <c r="C140"/>
      <c r="D140"/>
      <c r="E140"/>
      <c r="F140"/>
      <c r="G140" t="inlineStr">
        <is>
          <t>No empezada</t>
        </is>
      </c>
      <c r="H140" t="inlineStr">
        <is>
          <t>Pendiente</t>
        </is>
      </c>
      <c r="I140"/>
      <c r="J140"/>
      <c r="K140"/>
      <c r="L140">
        <f>IF(AND(ISNUMBER(J140),ISNUMBER(K140)),J140*K140/100,"")</f>
      </c>
      <c r="M140"/>
    </row>
    <row r="141">
      <c r="A141"/>
      <c r="B141"/>
      <c r="C141"/>
      <c r="D141"/>
      <c r="E141"/>
      <c r="F141"/>
      <c r="G141" t="inlineStr">
        <is>
          <t>No empezada</t>
        </is>
      </c>
      <c r="H141" t="inlineStr">
        <is>
          <t>Pendiente</t>
        </is>
      </c>
      <c r="I141"/>
      <c r="J141"/>
      <c r="K141"/>
      <c r="L141">
        <f>IF(AND(ISNUMBER(J141),ISNUMBER(K141)),J141*K141/100,"")</f>
      </c>
      <c r="M141"/>
    </row>
    <row r="142">
      <c r="A142"/>
      <c r="B142"/>
      <c r="C142"/>
      <c r="D142"/>
      <c r="E142"/>
      <c r="F142"/>
      <c r="G142" t="inlineStr">
        <is>
          <t>No empezada</t>
        </is>
      </c>
      <c r="H142" t="inlineStr">
        <is>
          <t>Pendiente</t>
        </is>
      </c>
      <c r="I142"/>
      <c r="J142"/>
      <c r="K142"/>
      <c r="L142">
        <f>IF(AND(ISNUMBER(J142),ISNUMBER(K142)),J142*K142/100,"")</f>
      </c>
      <c r="M142"/>
    </row>
    <row r="143">
      <c r="A143"/>
      <c r="B143"/>
      <c r="C143"/>
      <c r="D143"/>
      <c r="E143"/>
      <c r="F143"/>
      <c r="G143" t="inlineStr">
        <is>
          <t>No empezada</t>
        </is>
      </c>
      <c r="H143" t="inlineStr">
        <is>
          <t>Pendiente</t>
        </is>
      </c>
      <c r="I143"/>
      <c r="J143"/>
      <c r="K143"/>
      <c r="L143">
        <f>IF(AND(ISNUMBER(J143),ISNUMBER(K143)),J143*K143/100,"")</f>
      </c>
      <c r="M143"/>
    </row>
    <row r="144">
      <c r="A144"/>
      <c r="B144"/>
      <c r="C144"/>
      <c r="D144"/>
      <c r="E144"/>
      <c r="F144"/>
      <c r="G144" t="inlineStr">
        <is>
          <t>No empezada</t>
        </is>
      </c>
      <c r="H144" t="inlineStr">
        <is>
          <t>Pendiente</t>
        </is>
      </c>
      <c r="I144"/>
      <c r="J144"/>
      <c r="K144"/>
      <c r="L144">
        <f>IF(AND(ISNUMBER(J144),ISNUMBER(K144)),J144*K144/100,"")</f>
      </c>
      <c r="M144"/>
    </row>
    <row r="145">
      <c r="A145"/>
      <c r="B145"/>
      <c r="C145"/>
      <c r="D145"/>
      <c r="E145"/>
      <c r="F145"/>
      <c r="G145" t="inlineStr">
        <is>
          <t>No empezada</t>
        </is>
      </c>
      <c r="H145" t="inlineStr">
        <is>
          <t>Pendiente</t>
        </is>
      </c>
      <c r="I145"/>
      <c r="J145"/>
      <c r="K145"/>
      <c r="L145">
        <f>IF(AND(ISNUMBER(J145),ISNUMBER(K145)),J145*K145/100,"")</f>
      </c>
      <c r="M145"/>
    </row>
    <row r="146">
      <c r="A146"/>
      <c r="B146"/>
      <c r="C146"/>
      <c r="D146"/>
      <c r="E146"/>
      <c r="F146"/>
      <c r="G146" t="inlineStr">
        <is>
          <t>No empezada</t>
        </is>
      </c>
      <c r="H146" t="inlineStr">
        <is>
          <t>Pendiente</t>
        </is>
      </c>
      <c r="I146"/>
      <c r="J146"/>
      <c r="K146"/>
      <c r="L146">
        <f>IF(AND(ISNUMBER(J146),ISNUMBER(K146)),J146*K146/100,"")</f>
      </c>
      <c r="M146"/>
    </row>
    <row r="147">
      <c r="A147"/>
      <c r="B147"/>
      <c r="C147"/>
      <c r="D147"/>
      <c r="E147"/>
      <c r="F147"/>
      <c r="G147" t="inlineStr">
        <is>
          <t>No empezada</t>
        </is>
      </c>
      <c r="H147" t="inlineStr">
        <is>
          <t>Pendiente</t>
        </is>
      </c>
      <c r="I147"/>
      <c r="J147"/>
      <c r="K147"/>
      <c r="L147">
        <f>IF(AND(ISNUMBER(J147),ISNUMBER(K147)),J147*K147/100,"")</f>
      </c>
      <c r="M147"/>
    </row>
    <row r="148">
      <c r="A148"/>
      <c r="B148"/>
      <c r="C148"/>
      <c r="D148"/>
      <c r="E148"/>
      <c r="F148"/>
      <c r="G148" t="inlineStr">
        <is>
          <t>No empezada</t>
        </is>
      </c>
      <c r="H148" t="inlineStr">
        <is>
          <t>Pendiente</t>
        </is>
      </c>
      <c r="I148"/>
      <c r="J148"/>
      <c r="K148"/>
      <c r="L148">
        <f>IF(AND(ISNUMBER(J148),ISNUMBER(K148)),J148*K148/100,"")</f>
      </c>
      <c r="M148"/>
    </row>
    <row r="149">
      <c r="A149"/>
      <c r="B149"/>
      <c r="C149"/>
      <c r="D149"/>
      <c r="E149"/>
      <c r="F149"/>
      <c r="G149" t="inlineStr">
        <is>
          <t>No empezada</t>
        </is>
      </c>
      <c r="H149" t="inlineStr">
        <is>
          <t>Pendiente</t>
        </is>
      </c>
      <c r="I149"/>
      <c r="J149"/>
      <c r="K149"/>
      <c r="L149">
        <f>IF(AND(ISNUMBER(J149),ISNUMBER(K149)),J149*K149/100,"")</f>
      </c>
      <c r="M149"/>
    </row>
    <row r="150">
      <c r="A150"/>
      <c r="B150"/>
      <c r="C150"/>
      <c r="D150"/>
      <c r="E150"/>
      <c r="F150"/>
      <c r="G150" t="inlineStr">
        <is>
          <t>No empezada</t>
        </is>
      </c>
      <c r="H150" t="inlineStr">
        <is>
          <t>Pendiente</t>
        </is>
      </c>
      <c r="I150"/>
      <c r="J150"/>
      <c r="K150"/>
      <c r="L150">
        <f>IF(AND(ISNUMBER(J150),ISNUMBER(K150)),J150*K150/100,"")</f>
      </c>
      <c r="M150"/>
    </row>
    <row r="151">
      <c r="A151"/>
      <c r="B151"/>
      <c r="C151"/>
      <c r="D151"/>
      <c r="E151"/>
      <c r="F151"/>
      <c r="G151" t="inlineStr">
        <is>
          <t>No empezada</t>
        </is>
      </c>
      <c r="H151" t="inlineStr">
        <is>
          <t>Pendiente</t>
        </is>
      </c>
      <c r="I151"/>
      <c r="J151"/>
      <c r="K151"/>
      <c r="L151">
        <f>IF(AND(ISNUMBER(J151),ISNUMBER(K151)),J151*K151/100,"")</f>
      </c>
      <c r="M151"/>
    </row>
    <row r="152">
      <c r="A152"/>
      <c r="B152"/>
      <c r="C152"/>
      <c r="D152"/>
      <c r="E152"/>
      <c r="F152"/>
      <c r="G152" t="inlineStr">
        <is>
          <t>No empezada</t>
        </is>
      </c>
      <c r="H152" t="inlineStr">
        <is>
          <t>Pendiente</t>
        </is>
      </c>
      <c r="I152"/>
      <c r="J152"/>
      <c r="K152"/>
      <c r="L152">
        <f>IF(AND(ISNUMBER(J152),ISNUMBER(K152)),J152*K152/100,"")</f>
      </c>
      <c r="M152"/>
    </row>
    <row r="153">
      <c r="A153"/>
      <c r="B153"/>
      <c r="C153"/>
      <c r="D153"/>
      <c r="E153"/>
      <c r="F153"/>
      <c r="G153" t="inlineStr">
        <is>
          <t>No empezada</t>
        </is>
      </c>
      <c r="H153" t="inlineStr">
        <is>
          <t>Pendiente</t>
        </is>
      </c>
      <c r="I153"/>
      <c r="J153"/>
      <c r="K153"/>
      <c r="L153">
        <f>IF(AND(ISNUMBER(J153),ISNUMBER(K153)),J153*K153/100,"")</f>
      </c>
      <c r="M153"/>
    </row>
    <row r="154">
      <c r="A154"/>
      <c r="B154"/>
      <c r="C154"/>
      <c r="D154"/>
      <c r="E154"/>
      <c r="F154"/>
      <c r="G154" t="inlineStr">
        <is>
          <t>No empezada</t>
        </is>
      </c>
      <c r="H154" t="inlineStr">
        <is>
          <t>Pendiente</t>
        </is>
      </c>
      <c r="I154"/>
      <c r="J154"/>
      <c r="K154"/>
      <c r="L154">
        <f>IF(AND(ISNUMBER(J154),ISNUMBER(K154)),J154*K154/100,"")</f>
      </c>
      <c r="M154"/>
    </row>
    <row r="155">
      <c r="A155"/>
      <c r="B155"/>
      <c r="C155"/>
      <c r="D155"/>
      <c r="E155"/>
      <c r="F155"/>
      <c r="G155" t="inlineStr">
        <is>
          <t>No empezada</t>
        </is>
      </c>
      <c r="H155" t="inlineStr">
        <is>
          <t>Pendiente</t>
        </is>
      </c>
      <c r="I155"/>
      <c r="J155"/>
      <c r="K155"/>
      <c r="L155">
        <f>IF(AND(ISNUMBER(J155),ISNUMBER(K155)),J155*K155/100,"")</f>
      </c>
      <c r="M155"/>
    </row>
    <row r="156">
      <c r="A156"/>
      <c r="B156"/>
      <c r="C156"/>
      <c r="D156"/>
      <c r="E156"/>
      <c r="F156"/>
      <c r="G156" t="inlineStr">
        <is>
          <t>No empezada</t>
        </is>
      </c>
      <c r="H156" t="inlineStr">
        <is>
          <t>Pendiente</t>
        </is>
      </c>
      <c r="I156"/>
      <c r="J156"/>
      <c r="K156"/>
      <c r="L156">
        <f>IF(AND(ISNUMBER(J156),ISNUMBER(K156)),J156*K156/100,"")</f>
      </c>
      <c r="M156"/>
    </row>
    <row r="157">
      <c r="A157"/>
      <c r="B157"/>
      <c r="C157"/>
      <c r="D157"/>
      <c r="E157"/>
      <c r="F157"/>
      <c r="G157" t="inlineStr">
        <is>
          <t>No empezada</t>
        </is>
      </c>
      <c r="H157" t="inlineStr">
        <is>
          <t>Pendiente</t>
        </is>
      </c>
      <c r="I157"/>
      <c r="J157"/>
      <c r="K157"/>
      <c r="L157">
        <f>IF(AND(ISNUMBER(J157),ISNUMBER(K157)),J157*K157/100,"")</f>
      </c>
      <c r="M157"/>
    </row>
    <row r="158">
      <c r="A158"/>
      <c r="B158"/>
      <c r="C158"/>
      <c r="D158"/>
      <c r="E158"/>
      <c r="F158"/>
      <c r="G158" t="inlineStr">
        <is>
          <t>No empezada</t>
        </is>
      </c>
      <c r="H158" t="inlineStr">
        <is>
          <t>Pendiente</t>
        </is>
      </c>
      <c r="I158"/>
      <c r="J158"/>
      <c r="K158"/>
      <c r="L158">
        <f>IF(AND(ISNUMBER(J158),ISNUMBER(K158)),J158*K158/100,"")</f>
      </c>
      <c r="M158"/>
    </row>
    <row r="159">
      <c r="A159"/>
      <c r="B159"/>
      <c r="C159"/>
      <c r="D159"/>
      <c r="E159"/>
      <c r="F159"/>
      <c r="G159" t="inlineStr">
        <is>
          <t>No empezada</t>
        </is>
      </c>
      <c r="H159" t="inlineStr">
        <is>
          <t>Pendiente</t>
        </is>
      </c>
      <c r="I159"/>
      <c r="J159"/>
      <c r="K159"/>
      <c r="L159">
        <f>IF(AND(ISNUMBER(J159),ISNUMBER(K159)),J159*K159/100,"")</f>
      </c>
      <c r="M159"/>
    </row>
    <row r="160">
      <c r="A160"/>
      <c r="B160"/>
      <c r="C160"/>
      <c r="D160"/>
      <c r="E160"/>
      <c r="F160"/>
      <c r="G160" t="inlineStr">
        <is>
          <t>No empezada</t>
        </is>
      </c>
      <c r="H160" t="inlineStr">
        <is>
          <t>Pendiente</t>
        </is>
      </c>
      <c r="I160"/>
      <c r="J160"/>
      <c r="K160"/>
      <c r="L160">
        <f>IF(AND(ISNUMBER(J160),ISNUMBER(K160)),J160*K160/100,"")</f>
      </c>
      <c r="M160"/>
    </row>
    <row r="161">
      <c r="A161"/>
      <c r="B161"/>
      <c r="C161"/>
      <c r="D161"/>
      <c r="E161"/>
      <c r="F161"/>
      <c r="G161" t="inlineStr">
        <is>
          <t>No empezada</t>
        </is>
      </c>
      <c r="H161" t="inlineStr">
        <is>
          <t>Pendiente</t>
        </is>
      </c>
      <c r="I161"/>
      <c r="J161"/>
      <c r="K161"/>
      <c r="L161">
        <f>IF(AND(ISNUMBER(J161),ISNUMBER(K161)),J161*K161/100,"")</f>
      </c>
      <c r="M161"/>
    </row>
    <row r="162">
      <c r="A162"/>
      <c r="B162"/>
      <c r="C162"/>
      <c r="D162"/>
      <c r="E162"/>
      <c r="F162"/>
      <c r="G162" t="inlineStr">
        <is>
          <t>No empezada</t>
        </is>
      </c>
      <c r="H162" t="inlineStr">
        <is>
          <t>Pendiente</t>
        </is>
      </c>
      <c r="I162"/>
      <c r="J162"/>
      <c r="K162"/>
      <c r="L162">
        <f>IF(AND(ISNUMBER(J162),ISNUMBER(K162)),J162*K162/100,"")</f>
      </c>
      <c r="M162"/>
    </row>
    <row r="163">
      <c r="A163"/>
      <c r="B163"/>
      <c r="C163"/>
      <c r="D163"/>
      <c r="E163"/>
      <c r="F163"/>
      <c r="G163" t="inlineStr">
        <is>
          <t>No empezada</t>
        </is>
      </c>
      <c r="H163" t="inlineStr">
        <is>
          <t>Pendiente</t>
        </is>
      </c>
      <c r="I163"/>
      <c r="J163"/>
      <c r="K163"/>
      <c r="L163">
        <f>IF(AND(ISNUMBER(J163),ISNUMBER(K163)),J163*K163/100,"")</f>
      </c>
      <c r="M163"/>
    </row>
    <row r="164">
      <c r="A164"/>
      <c r="B164"/>
      <c r="C164"/>
      <c r="D164"/>
      <c r="E164"/>
      <c r="F164"/>
      <c r="G164" t="inlineStr">
        <is>
          <t>No empezada</t>
        </is>
      </c>
      <c r="H164" t="inlineStr">
        <is>
          <t>Pendiente</t>
        </is>
      </c>
      <c r="I164"/>
      <c r="J164"/>
      <c r="K164"/>
      <c r="L164">
        <f>IF(AND(ISNUMBER(J164),ISNUMBER(K164)),J164*K164/100,"")</f>
      </c>
      <c r="M164"/>
    </row>
    <row r="165">
      <c r="A165"/>
      <c r="B165"/>
      <c r="C165"/>
      <c r="D165"/>
      <c r="E165"/>
      <c r="F165"/>
      <c r="G165" t="inlineStr">
        <is>
          <t>No empezada</t>
        </is>
      </c>
      <c r="H165" t="inlineStr">
        <is>
          <t>Pendiente</t>
        </is>
      </c>
      <c r="I165"/>
      <c r="J165"/>
      <c r="K165"/>
      <c r="L165">
        <f>IF(AND(ISNUMBER(J165),ISNUMBER(K165)),J165*K165/100,"")</f>
      </c>
      <c r="M165"/>
    </row>
    <row r="166">
      <c r="A166"/>
      <c r="B166"/>
      <c r="C166"/>
      <c r="D166"/>
      <c r="E166"/>
      <c r="F166"/>
      <c r="G166" t="inlineStr">
        <is>
          <t>No empezada</t>
        </is>
      </c>
      <c r="H166" t="inlineStr">
        <is>
          <t>Pendiente</t>
        </is>
      </c>
      <c r="I166"/>
      <c r="J166"/>
      <c r="K166"/>
      <c r="L166">
        <f>IF(AND(ISNUMBER(J166),ISNUMBER(K166)),J166*K166/100,"")</f>
      </c>
      <c r="M166"/>
    </row>
    <row r="167">
      <c r="A167"/>
      <c r="B167"/>
      <c r="C167"/>
      <c r="D167"/>
      <c r="E167"/>
      <c r="F167"/>
      <c r="G167" t="inlineStr">
        <is>
          <t>No empezada</t>
        </is>
      </c>
      <c r="H167" t="inlineStr">
        <is>
          <t>Pendiente</t>
        </is>
      </c>
      <c r="I167"/>
      <c r="J167"/>
      <c r="K167"/>
      <c r="L167">
        <f>IF(AND(ISNUMBER(J167),ISNUMBER(K167)),J167*K167/100,"")</f>
      </c>
      <c r="M167"/>
    </row>
    <row r="168">
      <c r="A168"/>
      <c r="B168"/>
      <c r="C168"/>
      <c r="D168"/>
      <c r="E168"/>
      <c r="F168"/>
      <c r="G168" t="inlineStr">
        <is>
          <t>No empezada</t>
        </is>
      </c>
      <c r="H168" t="inlineStr">
        <is>
          <t>Pendiente</t>
        </is>
      </c>
      <c r="I168"/>
      <c r="J168"/>
      <c r="K168"/>
      <c r="L168">
        <f>IF(AND(ISNUMBER(J168),ISNUMBER(K168)),J168*K168/100,"")</f>
      </c>
      <c r="M168"/>
    </row>
    <row r="169">
      <c r="A169"/>
      <c r="B169"/>
      <c r="C169"/>
      <c r="D169"/>
      <c r="E169"/>
      <c r="F169"/>
      <c r="G169" t="inlineStr">
        <is>
          <t>No empezada</t>
        </is>
      </c>
      <c r="H169" t="inlineStr">
        <is>
          <t>Pendiente</t>
        </is>
      </c>
      <c r="I169"/>
      <c r="J169"/>
      <c r="K169"/>
      <c r="L169">
        <f>IF(AND(ISNUMBER(J169),ISNUMBER(K169)),J169*K169/100,"")</f>
      </c>
      <c r="M169"/>
    </row>
    <row r="170">
      <c r="A170"/>
      <c r="B170"/>
      <c r="C170"/>
      <c r="D170"/>
      <c r="E170"/>
      <c r="F170"/>
      <c r="G170" t="inlineStr">
        <is>
          <t>No empezada</t>
        </is>
      </c>
      <c r="H170" t="inlineStr">
        <is>
          <t>Pendiente</t>
        </is>
      </c>
      <c r="I170"/>
      <c r="J170"/>
      <c r="K170"/>
      <c r="L170">
        <f>IF(AND(ISNUMBER(J170),ISNUMBER(K170)),J170*K170/100,"")</f>
      </c>
      <c r="M170"/>
    </row>
    <row r="171">
      <c r="A171"/>
      <c r="B171"/>
      <c r="C171"/>
      <c r="D171"/>
      <c r="E171"/>
      <c r="F171"/>
      <c r="G171" t="inlineStr">
        <is>
          <t>No empezada</t>
        </is>
      </c>
      <c r="H171" t="inlineStr">
        <is>
          <t>Pendiente</t>
        </is>
      </c>
      <c r="I171"/>
      <c r="J171"/>
      <c r="K171"/>
      <c r="L171">
        <f>IF(AND(ISNUMBER(J171),ISNUMBER(K171)),J171*K171/100,"")</f>
      </c>
      <c r="M171"/>
    </row>
    <row r="172">
      <c r="A172"/>
      <c r="B172"/>
      <c r="C172"/>
      <c r="D172"/>
      <c r="E172"/>
      <c r="F172"/>
      <c r="G172" t="inlineStr">
        <is>
          <t>No empezada</t>
        </is>
      </c>
      <c r="H172" t="inlineStr">
        <is>
          <t>Pendiente</t>
        </is>
      </c>
      <c r="I172"/>
      <c r="J172"/>
      <c r="K172"/>
      <c r="L172">
        <f>IF(AND(ISNUMBER(J172),ISNUMBER(K172)),J172*K172/100,"")</f>
      </c>
      <c r="M172"/>
    </row>
    <row r="173">
      <c r="A173"/>
      <c r="B173"/>
      <c r="C173"/>
      <c r="D173"/>
      <c r="E173"/>
      <c r="F173"/>
      <c r="G173" t="inlineStr">
        <is>
          <t>No empezada</t>
        </is>
      </c>
      <c r="H173" t="inlineStr">
        <is>
          <t>Pendiente</t>
        </is>
      </c>
      <c r="I173"/>
      <c r="J173"/>
      <c r="K173"/>
      <c r="L173">
        <f>IF(AND(ISNUMBER(J173),ISNUMBER(K173)),J173*K173/100,"")</f>
      </c>
      <c r="M173"/>
    </row>
    <row r="174">
      <c r="A174"/>
      <c r="B174"/>
      <c r="C174"/>
      <c r="D174"/>
      <c r="E174"/>
      <c r="F174"/>
      <c r="G174" t="inlineStr">
        <is>
          <t>No empezada</t>
        </is>
      </c>
      <c r="H174" t="inlineStr">
        <is>
          <t>Pendiente</t>
        </is>
      </c>
      <c r="I174"/>
      <c r="J174"/>
      <c r="K174"/>
      <c r="L174">
        <f>IF(AND(ISNUMBER(J174),ISNUMBER(K174)),J174*K174/100,"")</f>
      </c>
      <c r="M174"/>
    </row>
    <row r="175">
      <c r="A175"/>
      <c r="B175"/>
      <c r="C175"/>
      <c r="D175"/>
      <c r="E175"/>
      <c r="F175"/>
      <c r="G175" t="inlineStr">
        <is>
          <t>No empezada</t>
        </is>
      </c>
      <c r="H175" t="inlineStr">
        <is>
          <t>Pendiente</t>
        </is>
      </c>
      <c r="I175"/>
      <c r="J175"/>
      <c r="K175"/>
      <c r="L175">
        <f>IF(AND(ISNUMBER(J175),ISNUMBER(K175)),J175*K175/100,"")</f>
      </c>
      <c r="M175"/>
    </row>
    <row r="176">
      <c r="A176"/>
      <c r="B176"/>
      <c r="C176"/>
      <c r="D176"/>
      <c r="E176"/>
      <c r="F176"/>
      <c r="G176" t="inlineStr">
        <is>
          <t>No empezada</t>
        </is>
      </c>
      <c r="H176" t="inlineStr">
        <is>
          <t>Pendiente</t>
        </is>
      </c>
      <c r="I176"/>
      <c r="J176"/>
      <c r="K176"/>
      <c r="L176">
        <f>IF(AND(ISNUMBER(J176),ISNUMBER(K176)),J176*K176/100,"")</f>
      </c>
      <c r="M176"/>
    </row>
    <row r="177">
      <c r="A177"/>
      <c r="B177"/>
      <c r="C177"/>
      <c r="D177"/>
      <c r="E177"/>
      <c r="F177"/>
      <c r="G177" t="inlineStr">
        <is>
          <t>No empezada</t>
        </is>
      </c>
      <c r="H177" t="inlineStr">
        <is>
          <t>Pendiente</t>
        </is>
      </c>
      <c r="I177"/>
      <c r="J177"/>
      <c r="K177"/>
      <c r="L177">
        <f>IF(AND(ISNUMBER(J177),ISNUMBER(K177)),J177*K177/100,"")</f>
      </c>
      <c r="M177"/>
    </row>
    <row r="178">
      <c r="A178"/>
      <c r="B178"/>
      <c r="C178"/>
      <c r="D178"/>
      <c r="E178"/>
      <c r="F178"/>
      <c r="G178" t="inlineStr">
        <is>
          <t>No empezada</t>
        </is>
      </c>
      <c r="H178" t="inlineStr">
        <is>
          <t>Pendiente</t>
        </is>
      </c>
      <c r="I178"/>
      <c r="J178"/>
      <c r="K178"/>
      <c r="L178">
        <f>IF(AND(ISNUMBER(J178),ISNUMBER(K178)),J178*K178/100,"")</f>
      </c>
      <c r="M178"/>
    </row>
    <row r="179">
      <c r="A179"/>
      <c r="B179"/>
      <c r="C179"/>
      <c r="D179"/>
      <c r="E179"/>
      <c r="F179"/>
      <c r="G179" t="inlineStr">
        <is>
          <t>No empezada</t>
        </is>
      </c>
      <c r="H179" t="inlineStr">
        <is>
          <t>Pendiente</t>
        </is>
      </c>
      <c r="I179"/>
      <c r="J179"/>
      <c r="K179"/>
      <c r="L179">
        <f>IF(AND(ISNUMBER(J179),ISNUMBER(K179)),J179*K179/100,"")</f>
      </c>
      <c r="M179"/>
    </row>
    <row r="180">
      <c r="A180"/>
      <c r="B180"/>
      <c r="C180"/>
      <c r="D180"/>
      <c r="E180"/>
      <c r="F180"/>
      <c r="G180" t="inlineStr">
        <is>
          <t>No empezada</t>
        </is>
      </c>
      <c r="H180" t="inlineStr">
        <is>
          <t>Pendiente</t>
        </is>
      </c>
      <c r="I180"/>
      <c r="J180"/>
      <c r="K180"/>
      <c r="L180">
        <f>IF(AND(ISNUMBER(J180),ISNUMBER(K180)),J180*K180/100,"")</f>
      </c>
      <c r="M180"/>
    </row>
    <row r="181">
      <c r="A181"/>
      <c r="B181"/>
      <c r="C181"/>
      <c r="D181"/>
      <c r="E181"/>
      <c r="F181"/>
      <c r="G181" t="inlineStr">
        <is>
          <t>No empezada</t>
        </is>
      </c>
      <c r="H181" t="inlineStr">
        <is>
          <t>Pendiente</t>
        </is>
      </c>
      <c r="I181"/>
      <c r="J181"/>
      <c r="K181"/>
      <c r="L181">
        <f>IF(AND(ISNUMBER(J181),ISNUMBER(K181)),J181*K181/100,"")</f>
      </c>
      <c r="M181"/>
    </row>
    <row r="182">
      <c r="A182"/>
      <c r="B182"/>
      <c r="C182"/>
      <c r="D182"/>
      <c r="E182"/>
      <c r="F182"/>
      <c r="G182" t="inlineStr">
        <is>
          <t>No empezada</t>
        </is>
      </c>
      <c r="H182" t="inlineStr">
        <is>
          <t>Pendiente</t>
        </is>
      </c>
      <c r="I182"/>
      <c r="J182"/>
      <c r="K182"/>
      <c r="L182">
        <f>IF(AND(ISNUMBER(J182),ISNUMBER(K182)),J182*K182/100,"")</f>
      </c>
      <c r="M182"/>
    </row>
    <row r="183">
      <c r="A183"/>
      <c r="B183"/>
      <c r="C183"/>
      <c r="D183"/>
      <c r="E183"/>
      <c r="F183"/>
      <c r="G183" t="inlineStr">
        <is>
          <t>No empezada</t>
        </is>
      </c>
      <c r="H183" t="inlineStr">
        <is>
          <t>Pendiente</t>
        </is>
      </c>
      <c r="I183"/>
      <c r="J183"/>
      <c r="K183"/>
      <c r="L183">
        <f>IF(AND(ISNUMBER(J183),ISNUMBER(K183)),J183*K183/100,"")</f>
      </c>
      <c r="M183"/>
    </row>
    <row r="184">
      <c r="A184"/>
      <c r="B184"/>
      <c r="C184"/>
      <c r="D184"/>
      <c r="E184"/>
      <c r="F184"/>
      <c r="G184" t="inlineStr">
        <is>
          <t>No empezada</t>
        </is>
      </c>
      <c r="H184" t="inlineStr">
        <is>
          <t>Pendiente</t>
        </is>
      </c>
      <c r="I184"/>
      <c r="J184"/>
      <c r="K184"/>
      <c r="L184">
        <f>IF(AND(ISNUMBER(J184),ISNUMBER(K184)),J184*K184/100,"")</f>
      </c>
      <c r="M184"/>
    </row>
    <row r="185">
      <c r="A185"/>
      <c r="B185"/>
      <c r="C185"/>
      <c r="D185"/>
      <c r="E185"/>
      <c r="F185"/>
      <c r="G185" t="inlineStr">
        <is>
          <t>No empezada</t>
        </is>
      </c>
      <c r="H185" t="inlineStr">
        <is>
          <t>Pendiente</t>
        </is>
      </c>
      <c r="I185"/>
      <c r="J185"/>
      <c r="K185"/>
      <c r="L185">
        <f>IF(AND(ISNUMBER(J185),ISNUMBER(K185)),J185*K185/100,"")</f>
      </c>
      <c r="M185"/>
    </row>
    <row r="186">
      <c r="A186"/>
      <c r="B186"/>
      <c r="C186"/>
      <c r="D186"/>
      <c r="E186"/>
      <c r="F186"/>
      <c r="G186" t="inlineStr">
        <is>
          <t>No empezada</t>
        </is>
      </c>
      <c r="H186" t="inlineStr">
        <is>
          <t>Pendiente</t>
        </is>
      </c>
      <c r="I186"/>
      <c r="J186"/>
      <c r="K186"/>
      <c r="L186">
        <f>IF(AND(ISNUMBER(J186),ISNUMBER(K186)),J186*K186/100,"")</f>
      </c>
      <c r="M186"/>
    </row>
    <row r="187">
      <c r="A187"/>
      <c r="B187"/>
      <c r="C187"/>
      <c r="D187"/>
      <c r="E187"/>
      <c r="F187"/>
      <c r="G187" t="inlineStr">
        <is>
          <t>No empezada</t>
        </is>
      </c>
      <c r="H187" t="inlineStr">
        <is>
          <t>Pendiente</t>
        </is>
      </c>
      <c r="I187"/>
      <c r="J187"/>
      <c r="K187"/>
      <c r="L187">
        <f>IF(AND(ISNUMBER(J187),ISNUMBER(K187)),J187*K187/100,"")</f>
      </c>
      <c r="M187"/>
    </row>
    <row r="188">
      <c r="A188"/>
      <c r="B188"/>
      <c r="C188"/>
      <c r="D188"/>
      <c r="E188"/>
      <c r="F188"/>
      <c r="G188" t="inlineStr">
        <is>
          <t>No empezada</t>
        </is>
      </c>
      <c r="H188" t="inlineStr">
        <is>
          <t>Pendiente</t>
        </is>
      </c>
      <c r="I188"/>
      <c r="J188"/>
      <c r="K188"/>
      <c r="L188">
        <f>IF(AND(ISNUMBER(J188),ISNUMBER(K188)),J188*K188/100,"")</f>
      </c>
      <c r="M188"/>
    </row>
    <row r="189">
      <c r="A189"/>
      <c r="B189"/>
      <c r="C189"/>
      <c r="D189"/>
      <c r="E189"/>
      <c r="F189"/>
      <c r="G189" t="inlineStr">
        <is>
          <t>No empezada</t>
        </is>
      </c>
      <c r="H189" t="inlineStr">
        <is>
          <t>Pendiente</t>
        </is>
      </c>
      <c r="I189"/>
      <c r="J189"/>
      <c r="K189"/>
      <c r="L189">
        <f>IF(AND(ISNUMBER(J189),ISNUMBER(K189)),J189*K189/100,"")</f>
      </c>
      <c r="M189"/>
    </row>
    <row r="190">
      <c r="A190"/>
      <c r="B190"/>
      <c r="C190"/>
      <c r="D190"/>
      <c r="E190"/>
      <c r="F190"/>
      <c r="G190" t="inlineStr">
        <is>
          <t>No empezada</t>
        </is>
      </c>
      <c r="H190" t="inlineStr">
        <is>
          <t>Pendiente</t>
        </is>
      </c>
      <c r="I190"/>
      <c r="J190"/>
      <c r="K190"/>
      <c r="L190">
        <f>IF(AND(ISNUMBER(J190),ISNUMBER(K190)),J190*K190/100,"")</f>
      </c>
      <c r="M190"/>
    </row>
    <row r="191">
      <c r="A191"/>
      <c r="B191"/>
      <c r="C191"/>
      <c r="D191"/>
      <c r="E191"/>
      <c r="F191"/>
      <c r="G191" t="inlineStr">
        <is>
          <t>No empezada</t>
        </is>
      </c>
      <c r="H191" t="inlineStr">
        <is>
          <t>Pendiente</t>
        </is>
      </c>
      <c r="I191"/>
      <c r="J191"/>
      <c r="K191"/>
      <c r="L191">
        <f>IF(AND(ISNUMBER(J191),ISNUMBER(K191)),J191*K191/100,"")</f>
      </c>
      <c r="M191"/>
    </row>
    <row r="192">
      <c r="A192"/>
      <c r="B192"/>
      <c r="C192"/>
      <c r="D192"/>
      <c r="E192"/>
      <c r="F192"/>
      <c r="G192" t="inlineStr">
        <is>
          <t>No empezada</t>
        </is>
      </c>
      <c r="H192" t="inlineStr">
        <is>
          <t>Pendiente</t>
        </is>
      </c>
      <c r="I192"/>
      <c r="J192"/>
      <c r="K192"/>
      <c r="L192">
        <f>IF(AND(ISNUMBER(J192),ISNUMBER(K192)),J192*K192/100,"")</f>
      </c>
      <c r="M192"/>
    </row>
    <row r="193">
      <c r="A193"/>
      <c r="B193"/>
      <c r="C193"/>
      <c r="D193"/>
      <c r="E193"/>
      <c r="F193"/>
      <c r="G193" t="inlineStr">
        <is>
          <t>No empezada</t>
        </is>
      </c>
      <c r="H193" t="inlineStr">
        <is>
          <t>Pendiente</t>
        </is>
      </c>
      <c r="I193"/>
      <c r="J193"/>
      <c r="K193"/>
      <c r="L193">
        <f>IF(AND(ISNUMBER(J193),ISNUMBER(K193)),J193*K193/100,"")</f>
      </c>
      <c r="M193"/>
    </row>
    <row r="194">
      <c r="A194"/>
      <c r="B194"/>
      <c r="C194"/>
      <c r="D194"/>
      <c r="E194"/>
      <c r="F194"/>
      <c r="G194" t="inlineStr">
        <is>
          <t>No empezada</t>
        </is>
      </c>
      <c r="H194" t="inlineStr">
        <is>
          <t>Pendiente</t>
        </is>
      </c>
      <c r="I194"/>
      <c r="J194"/>
      <c r="K194"/>
      <c r="L194">
        <f>IF(AND(ISNUMBER(J194),ISNUMBER(K194)),J194*K194/100,"")</f>
      </c>
      <c r="M194"/>
    </row>
    <row r="195">
      <c r="A195"/>
      <c r="B195"/>
      <c r="C195"/>
      <c r="D195"/>
      <c r="E195"/>
      <c r="F195"/>
      <c r="G195" t="inlineStr">
        <is>
          <t>No empezada</t>
        </is>
      </c>
      <c r="H195" t="inlineStr">
        <is>
          <t>Pendiente</t>
        </is>
      </c>
      <c r="I195"/>
      <c r="J195"/>
      <c r="K195"/>
      <c r="L195">
        <f>IF(AND(ISNUMBER(J195),ISNUMBER(K195)),J195*K195/100,"")</f>
      </c>
      <c r="M195"/>
    </row>
    <row r="196">
      <c r="A196"/>
      <c r="B196"/>
      <c r="C196"/>
      <c r="D196"/>
      <c r="E196"/>
      <c r="F196"/>
      <c r="G196" t="inlineStr">
        <is>
          <t>No empezada</t>
        </is>
      </c>
      <c r="H196" t="inlineStr">
        <is>
          <t>Pendiente</t>
        </is>
      </c>
      <c r="I196"/>
      <c r="J196"/>
      <c r="K196"/>
      <c r="L196">
        <f>IF(AND(ISNUMBER(J196),ISNUMBER(K196)),J196*K196/100,"")</f>
      </c>
      <c r="M196"/>
    </row>
    <row r="197">
      <c r="A197"/>
      <c r="B197"/>
      <c r="C197"/>
      <c r="D197"/>
      <c r="E197"/>
      <c r="F197"/>
      <c r="G197" t="inlineStr">
        <is>
          <t>No empezada</t>
        </is>
      </c>
      <c r="H197" t="inlineStr">
        <is>
          <t>Pendiente</t>
        </is>
      </c>
      <c r="I197"/>
      <c r="J197"/>
      <c r="K197"/>
      <c r="L197">
        <f>IF(AND(ISNUMBER(J197),ISNUMBER(K197)),J197*K197/100,"")</f>
      </c>
      <c r="M197"/>
    </row>
    <row r="198">
      <c r="A198"/>
      <c r="B198"/>
      <c r="C198"/>
      <c r="D198"/>
      <c r="E198"/>
      <c r="F198"/>
      <c r="G198" t="inlineStr">
        <is>
          <t>No empezada</t>
        </is>
      </c>
      <c r="H198" t="inlineStr">
        <is>
          <t>Pendiente</t>
        </is>
      </c>
      <c r="I198"/>
      <c r="J198"/>
      <c r="K198"/>
      <c r="L198">
        <f>IF(AND(ISNUMBER(J198),ISNUMBER(K198)),J198*K198/100,"")</f>
      </c>
      <c r="M198"/>
    </row>
    <row r="199">
      <c r="A199"/>
      <c r="B199"/>
      <c r="C199"/>
      <c r="D199"/>
      <c r="E199"/>
      <c r="F199"/>
      <c r="G199" t="inlineStr">
        <is>
          <t>No empezada</t>
        </is>
      </c>
      <c r="H199" t="inlineStr">
        <is>
          <t>Pendiente</t>
        </is>
      </c>
      <c r="I199"/>
      <c r="J199"/>
      <c r="K199"/>
      <c r="L199">
        <f>IF(AND(ISNUMBER(J199),ISNUMBER(K199)),J199*K199/100,"")</f>
      </c>
      <c r="M199"/>
    </row>
    <row r="200">
      <c r="A200"/>
      <c r="B200"/>
      <c r="C200"/>
      <c r="D200"/>
      <c r="E200"/>
      <c r="F200"/>
      <c r="G200" t="inlineStr">
        <is>
          <t>No empezada</t>
        </is>
      </c>
      <c r="H200" t="inlineStr">
        <is>
          <t>Pendiente</t>
        </is>
      </c>
      <c r="I200"/>
      <c r="J200"/>
      <c r="K200"/>
      <c r="L200">
        <f>IF(AND(ISNUMBER(J200),ISNUMBER(K200)),J200*K200/100,"")</f>
      </c>
      <c r="M200"/>
    </row>
    <row r="201">
      <c r="A201"/>
      <c r="B201"/>
      <c r="C201"/>
      <c r="D201"/>
      <c r="E201"/>
      <c r="F201"/>
      <c r="G201" t="inlineStr">
        <is>
          <t>No empezada</t>
        </is>
      </c>
      <c r="H201" t="inlineStr">
        <is>
          <t>Pendiente</t>
        </is>
      </c>
      <c r="I201"/>
      <c r="J201"/>
      <c r="K201"/>
      <c r="L201">
        <f>IF(AND(ISNUMBER(J201),ISNUMBER(K201)),J201*K201/100,"")</f>
      </c>
      <c r="M201"/>
    </row>
    <row r="202">
      <c r="A202"/>
      <c r="B202"/>
      <c r="C202"/>
      <c r="D202"/>
      <c r="E202"/>
      <c r="F202"/>
      <c r="G202" t="inlineStr">
        <is>
          <t>No empezada</t>
        </is>
      </c>
      <c r="H202" t="inlineStr">
        <is>
          <t>Pendiente</t>
        </is>
      </c>
      <c r="I202"/>
      <c r="J202"/>
      <c r="K202"/>
      <c r="L202">
        <f>IF(AND(ISNUMBER(J202),ISNUMBER(K202)),J202*K202/100,"")</f>
      </c>
      <c r="M202"/>
    </row>
    <row r="203">
      <c r="A203"/>
      <c r="B203"/>
      <c r="C203"/>
      <c r="D203"/>
      <c r="E203"/>
      <c r="F203"/>
      <c r="G203" t="inlineStr">
        <is>
          <t>No empezada</t>
        </is>
      </c>
      <c r="H203" t="inlineStr">
        <is>
          <t>Pendiente</t>
        </is>
      </c>
      <c r="I203"/>
      <c r="J203"/>
      <c r="K203"/>
      <c r="L203">
        <f>IF(AND(ISNUMBER(J203),ISNUMBER(K203)),J203*K203/100,"")</f>
      </c>
      <c r="M203"/>
    </row>
    <row r="204">
      <c r="A204"/>
      <c r="B204"/>
      <c r="C204"/>
      <c r="D204"/>
      <c r="E204"/>
      <c r="F204"/>
      <c r="G204" t="inlineStr">
        <is>
          <t>No empezada</t>
        </is>
      </c>
      <c r="H204" t="inlineStr">
        <is>
          <t>Pendiente</t>
        </is>
      </c>
      <c r="I204"/>
      <c r="J204"/>
      <c r="K204"/>
      <c r="L204">
        <f>IF(AND(ISNUMBER(J204),ISNUMBER(K204)),J204*K204/100,"")</f>
      </c>
      <c r="M204"/>
    </row>
    <row r="205">
      <c r="A205"/>
      <c r="B205"/>
      <c r="C205"/>
      <c r="D205"/>
      <c r="E205"/>
      <c r="F205"/>
      <c r="G205" t="inlineStr">
        <is>
          <t>No empezada</t>
        </is>
      </c>
      <c r="H205" t="inlineStr">
        <is>
          <t>Pendiente</t>
        </is>
      </c>
      <c r="I205"/>
      <c r="J205"/>
      <c r="K205"/>
      <c r="L205">
        <f>IF(AND(ISNUMBER(J205),ISNUMBER(K205)),J205*K205/100,"")</f>
      </c>
      <c r="M205"/>
    </row>
    <row r="206">
      <c r="A206"/>
      <c r="B206"/>
      <c r="C206"/>
      <c r="D206"/>
      <c r="E206"/>
      <c r="F206"/>
      <c r="G206" t="inlineStr">
        <is>
          <t>No empezada</t>
        </is>
      </c>
      <c r="H206" t="inlineStr">
        <is>
          <t>Pendiente</t>
        </is>
      </c>
      <c r="I206"/>
      <c r="J206"/>
      <c r="K206"/>
      <c r="L206">
        <f>IF(AND(ISNUMBER(J206),ISNUMBER(K206)),J206*K206/100,"")</f>
      </c>
      <c r="M206"/>
    </row>
    <row r="207">
      <c r="A207"/>
      <c r="B207"/>
      <c r="C207"/>
      <c r="D207"/>
      <c r="E207"/>
      <c r="F207"/>
      <c r="G207" t="inlineStr">
        <is>
          <t>No empezada</t>
        </is>
      </c>
      <c r="H207" t="inlineStr">
        <is>
          <t>Pendiente</t>
        </is>
      </c>
      <c r="I207"/>
      <c r="J207"/>
      <c r="K207"/>
      <c r="L207">
        <f>IF(AND(ISNUMBER(J207),ISNUMBER(K207)),J207*K207/100,"")</f>
      </c>
      <c r="M207"/>
    </row>
    <row r="208">
      <c r="A208"/>
      <c r="B208"/>
      <c r="C208"/>
      <c r="D208"/>
      <c r="E208"/>
      <c r="F208"/>
      <c r="G208" t="inlineStr">
        <is>
          <t>No empezada</t>
        </is>
      </c>
      <c r="H208" t="inlineStr">
        <is>
          <t>Pendiente</t>
        </is>
      </c>
      <c r="I208"/>
      <c r="J208"/>
      <c r="K208"/>
      <c r="L208">
        <f>IF(AND(ISNUMBER(J208),ISNUMBER(K208)),J208*K208/100,"")</f>
      </c>
      <c r="M208"/>
    </row>
    <row r="209">
      <c r="A209"/>
      <c r="B209"/>
      <c r="C209"/>
      <c r="D209"/>
      <c r="E209"/>
      <c r="F209"/>
      <c r="G209" t="inlineStr">
        <is>
          <t>No empezada</t>
        </is>
      </c>
      <c r="H209" t="inlineStr">
        <is>
          <t>Pendiente</t>
        </is>
      </c>
      <c r="I209"/>
      <c r="J209"/>
      <c r="K209"/>
      <c r="L209">
        <f>IF(AND(ISNUMBER(J209),ISNUMBER(K209)),J209*K209/100,"")</f>
      </c>
      <c r="M209"/>
    </row>
    <row r="210">
      <c r="A210"/>
      <c r="B210"/>
      <c r="C210"/>
      <c r="D210"/>
      <c r="E210"/>
      <c r="F210"/>
      <c r="G210" t="inlineStr">
        <is>
          <t>No empezada</t>
        </is>
      </c>
      <c r="H210" t="inlineStr">
        <is>
          <t>Pendiente</t>
        </is>
      </c>
      <c r="I210"/>
      <c r="J210"/>
      <c r="K210"/>
      <c r="L210">
        <f>IF(AND(ISNUMBER(J210),ISNUMBER(K210)),J210*K210/100,"")</f>
      </c>
      <c r="M210"/>
    </row>
    <row r="211">
      <c r="A211"/>
      <c r="B211"/>
      <c r="C211"/>
      <c r="D211"/>
      <c r="E211"/>
      <c r="F211"/>
      <c r="G211" t="inlineStr">
        <is>
          <t>No empezada</t>
        </is>
      </c>
      <c r="H211" t="inlineStr">
        <is>
          <t>Pendiente</t>
        </is>
      </c>
      <c r="I211"/>
      <c r="J211"/>
      <c r="K211"/>
      <c r="L211">
        <f>IF(AND(ISNUMBER(J211),ISNUMBER(K211)),J211*K211/100,"")</f>
      </c>
      <c r="M211"/>
    </row>
    <row r="212">
      <c r="A212"/>
      <c r="B212"/>
      <c r="C212"/>
      <c r="D212"/>
      <c r="E212"/>
      <c r="F212"/>
      <c r="G212" t="inlineStr">
        <is>
          <t>No empezada</t>
        </is>
      </c>
      <c r="H212" t="inlineStr">
        <is>
          <t>Pendiente</t>
        </is>
      </c>
      <c r="I212"/>
      <c r="J212"/>
      <c r="K212"/>
      <c r="L212">
        <f>IF(AND(ISNUMBER(J212),ISNUMBER(K212)),J212*K212/100,"")</f>
      </c>
      <c r="M212"/>
    </row>
    <row r="213">
      <c r="A213"/>
      <c r="B213"/>
      <c r="C213"/>
      <c r="D213"/>
      <c r="E213"/>
      <c r="F213"/>
      <c r="G213" t="inlineStr">
        <is>
          <t>No empezada</t>
        </is>
      </c>
      <c r="H213" t="inlineStr">
        <is>
          <t>Pendiente</t>
        </is>
      </c>
      <c r="I213"/>
      <c r="J213"/>
      <c r="K213"/>
      <c r="L213">
        <f>IF(AND(ISNUMBER(J213),ISNUMBER(K213)),J213*K213/100,"")</f>
      </c>
      <c r="M213"/>
    </row>
    <row r="214">
      <c r="A214"/>
      <c r="B214"/>
      <c r="C214"/>
      <c r="D214"/>
      <c r="E214"/>
      <c r="F214"/>
      <c r="G214" t="inlineStr">
        <is>
          <t>No empezada</t>
        </is>
      </c>
      <c r="H214" t="inlineStr">
        <is>
          <t>Pendiente</t>
        </is>
      </c>
      <c r="I214"/>
      <c r="J214"/>
      <c r="K214"/>
      <c r="L214">
        <f>IF(AND(ISNUMBER(J214),ISNUMBER(K214)),J214*K214/100,"")</f>
      </c>
      <c r="M214"/>
    </row>
    <row r="215">
      <c r="A215"/>
      <c r="B215"/>
      <c r="C215"/>
      <c r="D215"/>
      <c r="E215"/>
      <c r="F215"/>
      <c r="G215" t="inlineStr">
        <is>
          <t>No empezada</t>
        </is>
      </c>
      <c r="H215" t="inlineStr">
        <is>
          <t>Pendiente</t>
        </is>
      </c>
      <c r="I215"/>
      <c r="J215"/>
      <c r="K215"/>
      <c r="L215">
        <f>IF(AND(ISNUMBER(J215),ISNUMBER(K215)),J215*K215/100,"")</f>
      </c>
      <c r="M215"/>
    </row>
    <row r="216">
      <c r="A216"/>
      <c r="B216"/>
      <c r="C216"/>
      <c r="D216"/>
      <c r="E216"/>
      <c r="F216"/>
      <c r="G216" t="inlineStr">
        <is>
          <t>No empezada</t>
        </is>
      </c>
      <c r="H216" t="inlineStr">
        <is>
          <t>Pendiente</t>
        </is>
      </c>
      <c r="I216"/>
      <c r="J216"/>
      <c r="K216"/>
      <c r="L216">
        <f>IF(AND(ISNUMBER(J216),ISNUMBER(K216)),J216*K216/100,"")</f>
      </c>
      <c r="M216"/>
    </row>
    <row r="217">
      <c r="A217"/>
      <c r="B217"/>
      <c r="C217"/>
      <c r="D217"/>
      <c r="E217"/>
      <c r="F217"/>
      <c r="G217" t="inlineStr">
        <is>
          <t>No empezada</t>
        </is>
      </c>
      <c r="H217" t="inlineStr">
        <is>
          <t>Pendiente</t>
        </is>
      </c>
      <c r="I217"/>
      <c r="J217"/>
      <c r="K217"/>
      <c r="L217">
        <f>IF(AND(ISNUMBER(J217),ISNUMBER(K217)),J217*K217/100,"")</f>
      </c>
      <c r="M217"/>
    </row>
    <row r="218">
      <c r="A218"/>
      <c r="B218"/>
      <c r="C218"/>
      <c r="D218"/>
      <c r="E218"/>
      <c r="F218"/>
      <c r="G218" t="inlineStr">
        <is>
          <t>No empezada</t>
        </is>
      </c>
      <c r="H218" t="inlineStr">
        <is>
          <t>Pendiente</t>
        </is>
      </c>
      <c r="I218"/>
      <c r="J218"/>
      <c r="K218"/>
      <c r="L218">
        <f>IF(AND(ISNUMBER(J218),ISNUMBER(K218)),J218*K218/100,"")</f>
      </c>
      <c r="M218"/>
    </row>
    <row r="219">
      <c r="A219"/>
      <c r="B219"/>
      <c r="C219"/>
      <c r="D219"/>
      <c r="E219"/>
      <c r="F219"/>
      <c r="G219" t="inlineStr">
        <is>
          <t>No empezada</t>
        </is>
      </c>
      <c r="H219" t="inlineStr">
        <is>
          <t>Pendiente</t>
        </is>
      </c>
      <c r="I219"/>
      <c r="J219"/>
      <c r="K219"/>
      <c r="L219">
        <f>IF(AND(ISNUMBER(J219),ISNUMBER(K219)),J219*K219/100,"")</f>
      </c>
      <c r="M219"/>
    </row>
    <row r="220">
      <c r="A220"/>
      <c r="B220"/>
      <c r="C220"/>
      <c r="D220"/>
      <c r="E220"/>
      <c r="F220"/>
      <c r="G220" t="inlineStr">
        <is>
          <t>No empezada</t>
        </is>
      </c>
      <c r="H220" t="inlineStr">
        <is>
          <t>Pendiente</t>
        </is>
      </c>
      <c r="I220"/>
      <c r="J220"/>
      <c r="K220"/>
      <c r="L220">
        <f>IF(AND(ISNUMBER(J220),ISNUMBER(K220)),J220*K220/100,"")</f>
      </c>
      <c r="M220"/>
    </row>
    <row r="221">
      <c r="A221"/>
      <c r="B221"/>
      <c r="C221"/>
      <c r="D221"/>
      <c r="E221"/>
      <c r="F221"/>
      <c r="G221" t="inlineStr">
        <is>
          <t>No empezada</t>
        </is>
      </c>
      <c r="H221" t="inlineStr">
        <is>
          <t>Pendiente</t>
        </is>
      </c>
      <c r="I221"/>
      <c r="J221"/>
      <c r="K221"/>
      <c r="L221">
        <f>IF(AND(ISNUMBER(J221),ISNUMBER(K221)),J221*K221/100,"")</f>
      </c>
      <c r="M221"/>
    </row>
    <row r="222">
      <c r="A222"/>
      <c r="B222"/>
      <c r="C222"/>
      <c r="D222"/>
      <c r="E222"/>
      <c r="F222"/>
      <c r="G222" t="inlineStr">
        <is>
          <t>No empezada</t>
        </is>
      </c>
      <c r="H222" t="inlineStr">
        <is>
          <t>Pendiente</t>
        </is>
      </c>
      <c r="I222"/>
      <c r="J222"/>
      <c r="K222"/>
      <c r="L222">
        <f>IF(AND(ISNUMBER(J222),ISNUMBER(K222)),J222*K222/100,"")</f>
      </c>
      <c r="M222"/>
    </row>
    <row r="223">
      <c r="A223"/>
      <c r="B223"/>
      <c r="C223"/>
      <c r="D223"/>
      <c r="E223"/>
      <c r="F223"/>
      <c r="G223" t="inlineStr">
        <is>
          <t>No empezada</t>
        </is>
      </c>
      <c r="H223" t="inlineStr">
        <is>
          <t>Pendiente</t>
        </is>
      </c>
      <c r="I223"/>
      <c r="J223"/>
      <c r="K223"/>
      <c r="L223">
        <f>IF(AND(ISNUMBER(J223),ISNUMBER(K223)),J223*K223/100,"")</f>
      </c>
      <c r="M223"/>
    </row>
    <row r="224">
      <c r="A224"/>
      <c r="B224"/>
      <c r="C224"/>
      <c r="D224"/>
      <c r="E224"/>
      <c r="F224"/>
      <c r="G224" t="inlineStr">
        <is>
          <t>No empezada</t>
        </is>
      </c>
      <c r="H224" t="inlineStr">
        <is>
          <t>Pendiente</t>
        </is>
      </c>
      <c r="I224"/>
      <c r="J224"/>
      <c r="K224"/>
      <c r="L224">
        <f>IF(AND(ISNUMBER(J224),ISNUMBER(K224)),J224*K224/100,"")</f>
      </c>
      <c r="M224"/>
    </row>
    <row r="225">
      <c r="A225"/>
      <c r="B225"/>
      <c r="C225"/>
      <c r="D225"/>
      <c r="E225"/>
      <c r="F225"/>
      <c r="G225" t="inlineStr">
        <is>
          <t>No empezada</t>
        </is>
      </c>
      <c r="H225" t="inlineStr">
        <is>
          <t>Pendiente</t>
        </is>
      </c>
      <c r="I225"/>
      <c r="J225"/>
      <c r="K225"/>
      <c r="L225">
        <f>IF(AND(ISNUMBER(J225),ISNUMBER(K225)),J225*K225/100,"")</f>
      </c>
      <c r="M225"/>
    </row>
    <row r="226">
      <c r="A226"/>
      <c r="B226"/>
      <c r="C226"/>
      <c r="D226"/>
      <c r="E226"/>
      <c r="F226"/>
      <c r="G226" t="inlineStr">
        <is>
          <t>No empezada</t>
        </is>
      </c>
      <c r="H226" t="inlineStr">
        <is>
          <t>Pendiente</t>
        </is>
      </c>
      <c r="I226"/>
      <c r="J226"/>
      <c r="K226"/>
      <c r="L226">
        <f>IF(AND(ISNUMBER(J226),ISNUMBER(K226)),J226*K226/100,"")</f>
      </c>
      <c r="M226"/>
    </row>
    <row r="227">
      <c r="A227"/>
      <c r="B227"/>
      <c r="C227"/>
      <c r="D227"/>
      <c r="E227"/>
      <c r="F227"/>
      <c r="G227" t="inlineStr">
        <is>
          <t>No empezada</t>
        </is>
      </c>
      <c r="H227" t="inlineStr">
        <is>
          <t>Pendiente</t>
        </is>
      </c>
      <c r="I227"/>
      <c r="J227"/>
      <c r="K227"/>
      <c r="L227">
        <f>IF(AND(ISNUMBER(J227),ISNUMBER(K227)),J227*K227/100,"")</f>
      </c>
      <c r="M227"/>
    </row>
    <row r="228">
      <c r="A228"/>
      <c r="B228"/>
      <c r="C228"/>
      <c r="D228"/>
      <c r="E228"/>
      <c r="F228"/>
      <c r="G228" t="inlineStr">
        <is>
          <t>No empezada</t>
        </is>
      </c>
      <c r="H228" t="inlineStr">
        <is>
          <t>Pendiente</t>
        </is>
      </c>
      <c r="I228"/>
      <c r="J228"/>
      <c r="K228"/>
      <c r="L228">
        <f>IF(AND(ISNUMBER(J228),ISNUMBER(K228)),J228*K228/100,"")</f>
      </c>
      <c r="M228"/>
    </row>
    <row r="229">
      <c r="A229"/>
      <c r="B229"/>
      <c r="C229"/>
      <c r="D229"/>
      <c r="E229"/>
      <c r="F229"/>
      <c r="G229" t="inlineStr">
        <is>
          <t>No empezada</t>
        </is>
      </c>
      <c r="H229" t="inlineStr">
        <is>
          <t>Pendiente</t>
        </is>
      </c>
      <c r="I229"/>
      <c r="J229"/>
      <c r="K229"/>
      <c r="L229">
        <f>IF(AND(ISNUMBER(J229),ISNUMBER(K229)),J229*K229/100,"")</f>
      </c>
      <c r="M229"/>
    </row>
    <row r="230">
      <c r="A230"/>
      <c r="B230"/>
      <c r="C230"/>
      <c r="D230"/>
      <c r="E230"/>
      <c r="F230"/>
      <c r="G230" t="inlineStr">
        <is>
          <t>No empezada</t>
        </is>
      </c>
      <c r="H230" t="inlineStr">
        <is>
          <t>Pendiente</t>
        </is>
      </c>
      <c r="I230"/>
      <c r="J230"/>
      <c r="K230"/>
      <c r="L230">
        <f>IF(AND(ISNUMBER(J230),ISNUMBER(K230)),J230*K230/100,"")</f>
      </c>
      <c r="M230"/>
    </row>
    <row r="231">
      <c r="A231"/>
      <c r="B231"/>
      <c r="C231"/>
      <c r="D231"/>
      <c r="E231"/>
      <c r="F231"/>
      <c r="G231" t="inlineStr">
        <is>
          <t>No empezada</t>
        </is>
      </c>
      <c r="H231" t="inlineStr">
        <is>
          <t>Pendiente</t>
        </is>
      </c>
      <c r="I231"/>
      <c r="J231"/>
      <c r="K231"/>
      <c r="L231">
        <f>IF(AND(ISNUMBER(J231),ISNUMBER(K231)),J231*K231/100,"")</f>
      </c>
      <c r="M231"/>
    </row>
    <row r="232">
      <c r="A232"/>
      <c r="B232"/>
      <c r="C232"/>
      <c r="D232"/>
      <c r="E232"/>
      <c r="F232"/>
      <c r="G232" t="inlineStr">
        <is>
          <t>No empezada</t>
        </is>
      </c>
      <c r="H232" t="inlineStr">
        <is>
          <t>Pendiente</t>
        </is>
      </c>
      <c r="I232"/>
      <c r="J232"/>
      <c r="K232"/>
      <c r="L232">
        <f>IF(AND(ISNUMBER(J232),ISNUMBER(K232)),J232*K232/100,"")</f>
      </c>
      <c r="M232"/>
    </row>
    <row r="233">
      <c r="A233"/>
      <c r="B233"/>
      <c r="C233"/>
      <c r="D233"/>
      <c r="E233"/>
      <c r="F233"/>
      <c r="G233" t="inlineStr">
        <is>
          <t>No empezada</t>
        </is>
      </c>
      <c r="H233" t="inlineStr">
        <is>
          <t>Pendiente</t>
        </is>
      </c>
      <c r="I233"/>
      <c r="J233"/>
      <c r="K233"/>
      <c r="L233">
        <f>IF(AND(ISNUMBER(J233),ISNUMBER(K233)),J233*K233/100,"")</f>
      </c>
      <c r="M233"/>
    </row>
    <row r="234">
      <c r="A234"/>
      <c r="B234"/>
      <c r="C234"/>
      <c r="D234"/>
      <c r="E234"/>
      <c r="F234"/>
      <c r="G234" t="inlineStr">
        <is>
          <t>No empezada</t>
        </is>
      </c>
      <c r="H234" t="inlineStr">
        <is>
          <t>Pendiente</t>
        </is>
      </c>
      <c r="I234"/>
      <c r="J234"/>
      <c r="K234"/>
      <c r="L234">
        <f>IF(AND(ISNUMBER(J234),ISNUMBER(K234)),J234*K234/100,"")</f>
      </c>
      <c r="M234"/>
    </row>
    <row r="235">
      <c r="A235"/>
      <c r="B235"/>
      <c r="C235"/>
      <c r="D235"/>
      <c r="E235"/>
      <c r="F235"/>
      <c r="G235" t="inlineStr">
        <is>
          <t>No empezada</t>
        </is>
      </c>
      <c r="H235" t="inlineStr">
        <is>
          <t>Pendiente</t>
        </is>
      </c>
      <c r="I235"/>
      <c r="J235"/>
      <c r="K235"/>
      <c r="L235">
        <f>IF(AND(ISNUMBER(J235),ISNUMBER(K235)),J235*K235/100,"")</f>
      </c>
      <c r="M235"/>
    </row>
    <row r="236">
      <c r="A236"/>
      <c r="B236"/>
      <c r="C236"/>
      <c r="D236"/>
      <c r="E236"/>
      <c r="F236"/>
      <c r="G236" t="inlineStr">
        <is>
          <t>No empezada</t>
        </is>
      </c>
      <c r="H236" t="inlineStr">
        <is>
          <t>Pendiente</t>
        </is>
      </c>
      <c r="I236"/>
      <c r="J236"/>
      <c r="K236"/>
      <c r="L236">
        <f>IF(AND(ISNUMBER(J236),ISNUMBER(K236)),J236*K236/100,"")</f>
      </c>
      <c r="M236"/>
    </row>
    <row r="237">
      <c r="A237"/>
      <c r="B237"/>
      <c r="C237"/>
      <c r="D237"/>
      <c r="E237"/>
      <c r="F237"/>
      <c r="G237" t="inlineStr">
        <is>
          <t>No empezada</t>
        </is>
      </c>
      <c r="H237" t="inlineStr">
        <is>
          <t>Pendiente</t>
        </is>
      </c>
      <c r="I237"/>
      <c r="J237"/>
      <c r="K237"/>
      <c r="L237">
        <f>IF(AND(ISNUMBER(J237),ISNUMBER(K237)),J237*K237/100,"")</f>
      </c>
      <c r="M237"/>
    </row>
    <row r="238">
      <c r="A238"/>
      <c r="B238"/>
      <c r="C238"/>
      <c r="D238"/>
      <c r="E238"/>
      <c r="F238"/>
      <c r="G238" t="inlineStr">
        <is>
          <t>No empezada</t>
        </is>
      </c>
      <c r="H238" t="inlineStr">
        <is>
          <t>Pendiente</t>
        </is>
      </c>
      <c r="I238"/>
      <c r="J238"/>
      <c r="K238"/>
      <c r="L238">
        <f>IF(AND(ISNUMBER(J238),ISNUMBER(K238)),J238*K238/100,"")</f>
      </c>
      <c r="M238"/>
    </row>
    <row r="239">
      <c r="A239"/>
      <c r="B239"/>
      <c r="C239"/>
      <c r="D239"/>
      <c r="E239"/>
      <c r="F239"/>
      <c r="G239" t="inlineStr">
        <is>
          <t>No empezada</t>
        </is>
      </c>
      <c r="H239" t="inlineStr">
        <is>
          <t>Pendiente</t>
        </is>
      </c>
      <c r="I239"/>
      <c r="J239"/>
      <c r="K239"/>
      <c r="L239">
        <f>IF(AND(ISNUMBER(J239),ISNUMBER(K239)),J239*K239/100,"")</f>
      </c>
      <c r="M239"/>
    </row>
    <row r="240">
      <c r="A240"/>
      <c r="B240"/>
      <c r="C240"/>
      <c r="D240"/>
      <c r="E240"/>
      <c r="F240"/>
      <c r="G240" t="inlineStr">
        <is>
          <t>No empezada</t>
        </is>
      </c>
      <c r="H240" t="inlineStr">
        <is>
          <t>Pendiente</t>
        </is>
      </c>
      <c r="I240"/>
      <c r="J240"/>
      <c r="K240"/>
      <c r="L240">
        <f>IF(AND(ISNUMBER(J240),ISNUMBER(K240)),J240*K240/100,"")</f>
      </c>
      <c r="M240"/>
    </row>
    <row r="241">
      <c r="A241"/>
      <c r="B241"/>
      <c r="C241"/>
      <c r="D241"/>
      <c r="E241"/>
      <c r="F241"/>
      <c r="G241" t="inlineStr">
        <is>
          <t>No empezada</t>
        </is>
      </c>
      <c r="H241" t="inlineStr">
        <is>
          <t>Pendiente</t>
        </is>
      </c>
      <c r="I241"/>
      <c r="J241"/>
      <c r="K241"/>
      <c r="L241">
        <f>IF(AND(ISNUMBER(J241),ISNUMBER(K241)),J241*K241/100,"")</f>
      </c>
      <c r="M241"/>
    </row>
    <row r="242">
      <c r="A242"/>
      <c r="B242"/>
      <c r="C242"/>
      <c r="D242"/>
      <c r="E242"/>
      <c r="F242"/>
      <c r="G242" t="inlineStr">
        <is>
          <t>No empezada</t>
        </is>
      </c>
      <c r="H242" t="inlineStr">
        <is>
          <t>Pendiente</t>
        </is>
      </c>
      <c r="I242"/>
      <c r="J242"/>
      <c r="K242"/>
      <c r="L242">
        <f>IF(AND(ISNUMBER(J242),ISNUMBER(K242)),J242*K242/100,"")</f>
      </c>
      <c r="M242"/>
    </row>
    <row r="243">
      <c r="A243"/>
      <c r="B243"/>
      <c r="C243"/>
      <c r="D243"/>
      <c r="E243"/>
      <c r="F243"/>
      <c r="G243" t="inlineStr">
        <is>
          <t>No empezada</t>
        </is>
      </c>
      <c r="H243" t="inlineStr">
        <is>
          <t>Pendiente</t>
        </is>
      </c>
      <c r="I243"/>
      <c r="J243"/>
      <c r="K243"/>
      <c r="L243">
        <f>IF(AND(ISNUMBER(J243),ISNUMBER(K243)),J243*K243/100,"")</f>
      </c>
      <c r="M243"/>
    </row>
    <row r="244">
      <c r="A244"/>
      <c r="B244"/>
      <c r="C244"/>
      <c r="D244"/>
      <c r="E244"/>
      <c r="F244"/>
      <c r="G244" t="inlineStr">
        <is>
          <t>No empezada</t>
        </is>
      </c>
      <c r="H244" t="inlineStr">
        <is>
          <t>Pendiente</t>
        </is>
      </c>
      <c r="I244"/>
      <c r="J244"/>
      <c r="K244"/>
      <c r="L244">
        <f>IF(AND(ISNUMBER(J244),ISNUMBER(K244)),J244*K244/100,"")</f>
      </c>
      <c r="M244"/>
    </row>
    <row r="245">
      <c r="A245"/>
      <c r="B245"/>
      <c r="C245"/>
      <c r="D245"/>
      <c r="E245"/>
      <c r="F245"/>
      <c r="G245" t="inlineStr">
        <is>
          <t>No empezada</t>
        </is>
      </c>
      <c r="H245" t="inlineStr">
        <is>
          <t>Pendiente</t>
        </is>
      </c>
      <c r="I245"/>
      <c r="J245"/>
      <c r="K245"/>
      <c r="L245">
        <f>IF(AND(ISNUMBER(J245),ISNUMBER(K245)),J245*K245/100,"")</f>
      </c>
      <c r="M245"/>
    </row>
    <row r="246">
      <c r="A246"/>
      <c r="B246"/>
      <c r="C246"/>
      <c r="D246"/>
      <c r="E246"/>
      <c r="F246"/>
      <c r="G246" t="inlineStr">
        <is>
          <t>No empezada</t>
        </is>
      </c>
      <c r="H246" t="inlineStr">
        <is>
          <t>Pendiente</t>
        </is>
      </c>
      <c r="I246"/>
      <c r="J246"/>
      <c r="K246"/>
      <c r="L246">
        <f>IF(AND(ISNUMBER(J246),ISNUMBER(K246)),J246*K246/100,"")</f>
      </c>
      <c r="M246"/>
    </row>
    <row r="247">
      <c r="A247"/>
      <c r="B247"/>
      <c r="C247"/>
      <c r="D247"/>
      <c r="E247"/>
      <c r="F247"/>
      <c r="G247" t="inlineStr">
        <is>
          <t>No empezada</t>
        </is>
      </c>
      <c r="H247" t="inlineStr">
        <is>
          <t>Pendiente</t>
        </is>
      </c>
      <c r="I247"/>
      <c r="J247"/>
      <c r="K247"/>
      <c r="L247">
        <f>IF(AND(ISNUMBER(J247),ISNUMBER(K247)),J247*K247/100,"")</f>
      </c>
      <c r="M247"/>
    </row>
    <row r="248">
      <c r="A248"/>
      <c r="B248"/>
      <c r="C248"/>
      <c r="D248"/>
      <c r="E248"/>
      <c r="F248"/>
      <c r="G248" t="inlineStr">
        <is>
          <t>No empezada</t>
        </is>
      </c>
      <c r="H248" t="inlineStr">
        <is>
          <t>Pendiente</t>
        </is>
      </c>
      <c r="I248"/>
      <c r="J248"/>
      <c r="K248"/>
      <c r="L248">
        <f>IF(AND(ISNUMBER(J248),ISNUMBER(K248)),J248*K248/100,"")</f>
      </c>
      <c r="M248"/>
    </row>
    <row r="249">
      <c r="A249"/>
      <c r="B249"/>
      <c r="C249"/>
      <c r="D249"/>
      <c r="E249"/>
      <c r="F249"/>
      <c r="G249" t="inlineStr">
        <is>
          <t>No empezada</t>
        </is>
      </c>
      <c r="H249" t="inlineStr">
        <is>
          <t>Pendiente</t>
        </is>
      </c>
      <c r="I249"/>
      <c r="J249"/>
      <c r="K249"/>
      <c r="L249">
        <f>IF(AND(ISNUMBER(J249),ISNUMBER(K249)),J249*K249/100,"")</f>
      </c>
      <c r="M249"/>
    </row>
    <row r="250">
      <c r="A250"/>
      <c r="B250"/>
      <c r="C250"/>
      <c r="D250"/>
      <c r="E250"/>
      <c r="F250"/>
      <c r="G250" t="inlineStr">
        <is>
          <t>No empezada</t>
        </is>
      </c>
      <c r="H250" t="inlineStr">
        <is>
          <t>Pendiente</t>
        </is>
      </c>
      <c r="I250"/>
      <c r="J250"/>
      <c r="K250"/>
      <c r="L250">
        <f>IF(AND(ISNUMBER(J250),ISNUMBER(K250)),J250*K250/100,"")</f>
      </c>
      <c r="M250"/>
    </row>
    <row r="251">
      <c r="A251"/>
      <c r="B251"/>
      <c r="C251"/>
      <c r="D251"/>
      <c r="E251"/>
      <c r="F251"/>
      <c r="G251" t="inlineStr">
        <is>
          <t>No empezada</t>
        </is>
      </c>
      <c r="H251" t="inlineStr">
        <is>
          <t>Pendiente</t>
        </is>
      </c>
      <c r="I251"/>
      <c r="J251"/>
      <c r="K251"/>
      <c r="L251">
        <f>IF(AND(ISNUMBER(J251),ISNUMBER(K251)),J251*K251/100,"")</f>
      </c>
      <c r="M251"/>
    </row>
    <row r="252">
      <c r="A252"/>
      <c r="B252"/>
      <c r="C252"/>
      <c r="D252"/>
      <c r="E252"/>
      <c r="F252"/>
      <c r="G252" t="inlineStr">
        <is>
          <t>No empezada</t>
        </is>
      </c>
      <c r="H252" t="inlineStr">
        <is>
          <t>Pendiente</t>
        </is>
      </c>
      <c r="I252"/>
      <c r="J252"/>
      <c r="K252"/>
      <c r="L252">
        <f>IF(AND(ISNUMBER(J252),ISNUMBER(K252)),J252*K252/100,"")</f>
      </c>
      <c r="M252"/>
    </row>
    <row r="253">
      <c r="A253"/>
      <c r="B253"/>
      <c r="C253"/>
      <c r="D253"/>
      <c r="E253"/>
      <c r="F253"/>
      <c r="G253" t="inlineStr">
        <is>
          <t>No empezada</t>
        </is>
      </c>
      <c r="H253" t="inlineStr">
        <is>
          <t>Pendiente</t>
        </is>
      </c>
      <c r="I253"/>
      <c r="J253"/>
      <c r="K253"/>
      <c r="L253">
        <f>IF(AND(ISNUMBER(J253),ISNUMBER(K253)),J253*K253/100,"")</f>
      </c>
      <c r="M253"/>
    </row>
    <row r="254">
      <c r="A254"/>
      <c r="B254"/>
      <c r="C254"/>
      <c r="D254"/>
      <c r="E254"/>
      <c r="F254"/>
      <c r="G254" t="inlineStr">
        <is>
          <t>No empezada</t>
        </is>
      </c>
      <c r="H254" t="inlineStr">
        <is>
          <t>Pendiente</t>
        </is>
      </c>
      <c r="I254"/>
      <c r="J254"/>
      <c r="K254"/>
      <c r="L254">
        <f>IF(AND(ISNUMBER(J254),ISNUMBER(K254)),J254*K254/100,"")</f>
      </c>
      <c r="M254"/>
    </row>
    <row r="255">
      <c r="A255"/>
      <c r="B255"/>
      <c r="C255"/>
      <c r="D255"/>
      <c r="E255"/>
      <c r="F255"/>
      <c r="G255" t="inlineStr">
        <is>
          <t>No empezada</t>
        </is>
      </c>
      <c r="H255" t="inlineStr">
        <is>
          <t>Pendiente</t>
        </is>
      </c>
      <c r="I255"/>
      <c r="J255"/>
      <c r="K255"/>
      <c r="L255">
        <f>IF(AND(ISNUMBER(J255),ISNUMBER(K255)),J255*K255/100,"")</f>
      </c>
      <c r="M255"/>
    </row>
    <row r="256">
      <c r="A256"/>
      <c r="B256"/>
      <c r="C256"/>
      <c r="D256"/>
      <c r="E256"/>
      <c r="F256"/>
      <c r="G256" t="inlineStr">
        <is>
          <t>No empezada</t>
        </is>
      </c>
      <c r="H256" t="inlineStr">
        <is>
          <t>Pendiente</t>
        </is>
      </c>
      <c r="I256"/>
      <c r="J256"/>
      <c r="K256"/>
      <c r="L256">
        <f>IF(AND(ISNUMBER(J256),ISNUMBER(K256)),J256*K256/100,"")</f>
      </c>
      <c r="M256"/>
    </row>
    <row r="257">
      <c r="A257"/>
      <c r="B257"/>
      <c r="C257"/>
      <c r="D257"/>
      <c r="E257"/>
      <c r="F257"/>
      <c r="G257" t="inlineStr">
        <is>
          <t>No empezada</t>
        </is>
      </c>
      <c r="H257" t="inlineStr">
        <is>
          <t>Pendiente</t>
        </is>
      </c>
      <c r="I257"/>
      <c r="J257"/>
      <c r="K257"/>
      <c r="L257">
        <f>IF(AND(ISNUMBER(J257),ISNUMBER(K257)),J257*K257/100,"")</f>
      </c>
      <c r="M257"/>
    </row>
    <row r="258">
      <c r="A258"/>
      <c r="B258"/>
      <c r="C258"/>
      <c r="D258"/>
      <c r="E258"/>
      <c r="F258"/>
      <c r="G258" t="inlineStr">
        <is>
          <t>No empezada</t>
        </is>
      </c>
      <c r="H258" t="inlineStr">
        <is>
          <t>Pendiente</t>
        </is>
      </c>
      <c r="I258"/>
      <c r="J258"/>
      <c r="K258"/>
      <c r="L258">
        <f>IF(AND(ISNUMBER(J258),ISNUMBER(K258)),J258*K258/100,"")</f>
      </c>
      <c r="M258"/>
    </row>
    <row r="259">
      <c r="A259"/>
      <c r="B259"/>
      <c r="C259"/>
      <c r="D259"/>
      <c r="E259"/>
      <c r="F259"/>
      <c r="G259" t="inlineStr">
        <is>
          <t>No empezada</t>
        </is>
      </c>
      <c r="H259" t="inlineStr">
        <is>
          <t>Pendiente</t>
        </is>
      </c>
      <c r="I259"/>
      <c r="J259"/>
      <c r="K259"/>
      <c r="L259">
        <f>IF(AND(ISNUMBER(J259),ISNUMBER(K259)),J259*K259/100,"")</f>
      </c>
      <c r="M259"/>
    </row>
    <row r="260">
      <c r="A260"/>
      <c r="B260"/>
      <c r="C260"/>
      <c r="D260"/>
      <c r="E260"/>
      <c r="F260"/>
      <c r="G260" t="inlineStr">
        <is>
          <t>No empezada</t>
        </is>
      </c>
      <c r="H260" t="inlineStr">
        <is>
          <t>Pendiente</t>
        </is>
      </c>
      <c r="I260"/>
      <c r="J260"/>
      <c r="K260"/>
      <c r="L260">
        <f>IF(AND(ISNUMBER(J260),ISNUMBER(K260)),J260*K260/100,"")</f>
      </c>
      <c r="M260"/>
    </row>
    <row r="261">
      <c r="A261"/>
      <c r="B261"/>
      <c r="C261"/>
      <c r="D261"/>
      <c r="E261"/>
      <c r="F261"/>
      <c r="G261" t="inlineStr">
        <is>
          <t>No empezada</t>
        </is>
      </c>
      <c r="H261" t="inlineStr">
        <is>
          <t>Pendiente</t>
        </is>
      </c>
      <c r="I261"/>
      <c r="J261"/>
      <c r="K261"/>
      <c r="L261">
        <f>IF(AND(ISNUMBER(J261),ISNUMBER(K261)),J261*K261/100,"")</f>
      </c>
      <c r="M261"/>
    </row>
    <row r="262">
      <c r="A262"/>
      <c r="B262"/>
      <c r="C262"/>
      <c r="D262"/>
      <c r="E262"/>
      <c r="F262"/>
      <c r="G262" t="inlineStr">
        <is>
          <t>No empezada</t>
        </is>
      </c>
      <c r="H262" t="inlineStr">
        <is>
          <t>Pendiente</t>
        </is>
      </c>
      <c r="I262"/>
      <c r="J262"/>
      <c r="K262"/>
      <c r="L262">
        <f>IF(AND(ISNUMBER(J262),ISNUMBER(K262)),J262*K262/100,"")</f>
      </c>
      <c r="M262"/>
    </row>
    <row r="263">
      <c r="A263"/>
      <c r="B263"/>
      <c r="C263"/>
      <c r="D263"/>
      <c r="E263"/>
      <c r="F263"/>
      <c r="G263" t="inlineStr">
        <is>
          <t>No empezada</t>
        </is>
      </c>
      <c r="H263" t="inlineStr">
        <is>
          <t>Pendiente</t>
        </is>
      </c>
      <c r="I263"/>
      <c r="J263"/>
      <c r="K263"/>
      <c r="L263">
        <f>IF(AND(ISNUMBER(J263),ISNUMBER(K263)),J263*K263/100,"")</f>
      </c>
      <c r="M263"/>
    </row>
    <row r="264">
      <c r="A264"/>
      <c r="B264"/>
      <c r="C264"/>
      <c r="D264"/>
      <c r="E264"/>
      <c r="F264"/>
      <c r="G264" t="inlineStr">
        <is>
          <t>No empezada</t>
        </is>
      </c>
      <c r="H264" t="inlineStr">
        <is>
          <t>Pendiente</t>
        </is>
      </c>
      <c r="I264"/>
      <c r="J264"/>
      <c r="K264"/>
      <c r="L264">
        <f>IF(AND(ISNUMBER(J264),ISNUMBER(K264)),J264*K264/100,"")</f>
      </c>
      <c r="M264"/>
    </row>
    <row r="265">
      <c r="A265"/>
      <c r="B265"/>
      <c r="C265"/>
      <c r="D265"/>
      <c r="E265"/>
      <c r="F265"/>
      <c r="G265" t="inlineStr">
        <is>
          <t>No empezada</t>
        </is>
      </c>
      <c r="H265" t="inlineStr">
        <is>
          <t>Pendiente</t>
        </is>
      </c>
      <c r="I265"/>
      <c r="J265"/>
      <c r="K265"/>
      <c r="L265">
        <f>IF(AND(ISNUMBER(J265),ISNUMBER(K265)),J265*K265/100,"")</f>
      </c>
      <c r="M265"/>
    </row>
    <row r="266">
      <c r="A266"/>
      <c r="B266"/>
      <c r="C266"/>
      <c r="D266"/>
      <c r="E266"/>
      <c r="F266"/>
      <c r="G266" t="inlineStr">
        <is>
          <t>No empezada</t>
        </is>
      </c>
      <c r="H266" t="inlineStr">
        <is>
          <t>Pendiente</t>
        </is>
      </c>
      <c r="I266"/>
      <c r="J266"/>
      <c r="K266"/>
      <c r="L266">
        <f>IF(AND(ISNUMBER(J266),ISNUMBER(K266)),J266*K266/100,"")</f>
      </c>
      <c r="M266"/>
    </row>
    <row r="267">
      <c r="A267"/>
      <c r="B267"/>
      <c r="C267"/>
      <c r="D267"/>
      <c r="E267"/>
      <c r="F267"/>
      <c r="G267" t="inlineStr">
        <is>
          <t>No empezada</t>
        </is>
      </c>
      <c r="H267" t="inlineStr">
        <is>
          <t>Pendiente</t>
        </is>
      </c>
      <c r="I267"/>
      <c r="J267"/>
      <c r="K267"/>
      <c r="L267">
        <f>IF(AND(ISNUMBER(J267),ISNUMBER(K267)),J267*K267/100,"")</f>
      </c>
      <c r="M267"/>
    </row>
    <row r="268">
      <c r="A268"/>
      <c r="B268"/>
      <c r="C268"/>
      <c r="D268"/>
      <c r="E268"/>
      <c r="F268"/>
      <c r="G268" t="inlineStr">
        <is>
          <t>No empezada</t>
        </is>
      </c>
      <c r="H268" t="inlineStr">
        <is>
          <t>Pendiente</t>
        </is>
      </c>
      <c r="I268"/>
      <c r="J268"/>
      <c r="K268"/>
      <c r="L268">
        <f>IF(AND(ISNUMBER(J268),ISNUMBER(K268)),J268*K268/100,"")</f>
      </c>
      <c r="M268"/>
    </row>
    <row r="269">
      <c r="A269"/>
      <c r="B269"/>
      <c r="C269"/>
      <c r="D269"/>
      <c r="E269"/>
      <c r="F269"/>
      <c r="G269" t="inlineStr">
        <is>
          <t>No empezada</t>
        </is>
      </c>
      <c r="H269" t="inlineStr">
        <is>
          <t>Pendiente</t>
        </is>
      </c>
      <c r="I269"/>
      <c r="J269"/>
      <c r="K269"/>
      <c r="L269">
        <f>IF(AND(ISNUMBER(J269),ISNUMBER(K269)),J269*K269/100,"")</f>
      </c>
      <c r="M269"/>
    </row>
    <row r="270">
      <c r="A270"/>
      <c r="B270"/>
      <c r="C270"/>
      <c r="D270"/>
      <c r="E270"/>
      <c r="F270"/>
      <c r="G270" t="inlineStr">
        <is>
          <t>No empezada</t>
        </is>
      </c>
      <c r="H270" t="inlineStr">
        <is>
          <t>Pendiente</t>
        </is>
      </c>
      <c r="I270"/>
      <c r="J270"/>
      <c r="K270"/>
      <c r="L270">
        <f>IF(AND(ISNUMBER(J270),ISNUMBER(K270)),J270*K270/100,"")</f>
      </c>
      <c r="M270"/>
    </row>
    <row r="271">
      <c r="A271"/>
      <c r="B271"/>
      <c r="C271"/>
      <c r="D271"/>
      <c r="E271"/>
      <c r="F271"/>
      <c r="G271" t="inlineStr">
        <is>
          <t>No empezada</t>
        </is>
      </c>
      <c r="H271" t="inlineStr">
        <is>
          <t>Pendiente</t>
        </is>
      </c>
      <c r="I271"/>
      <c r="J271"/>
      <c r="K271"/>
      <c r="L271">
        <f>IF(AND(ISNUMBER(J271),ISNUMBER(K271)),J271*K271/100,"")</f>
      </c>
      <c r="M271"/>
    </row>
    <row r="272">
      <c r="A272"/>
      <c r="B272"/>
      <c r="C272"/>
      <c r="D272"/>
      <c r="E272"/>
      <c r="F272"/>
      <c r="G272" t="inlineStr">
        <is>
          <t>No empezada</t>
        </is>
      </c>
      <c r="H272" t="inlineStr">
        <is>
          <t>Pendiente</t>
        </is>
      </c>
      <c r="I272"/>
      <c r="J272"/>
      <c r="K272"/>
      <c r="L272">
        <f>IF(AND(ISNUMBER(J272),ISNUMBER(K272)),J272*K272/100,"")</f>
      </c>
      <c r="M272"/>
    </row>
    <row r="273">
      <c r="A273"/>
      <c r="B273"/>
      <c r="C273"/>
      <c r="D273"/>
      <c r="E273"/>
      <c r="F273"/>
      <c r="G273" t="inlineStr">
        <is>
          <t>No empezada</t>
        </is>
      </c>
      <c r="H273" t="inlineStr">
        <is>
          <t>Pendiente</t>
        </is>
      </c>
      <c r="I273"/>
      <c r="J273"/>
      <c r="K273"/>
      <c r="L273">
        <f>IF(AND(ISNUMBER(J273),ISNUMBER(K273)),J273*K273/100,"")</f>
      </c>
      <c r="M273"/>
    </row>
    <row r="274">
      <c r="A274"/>
      <c r="B274"/>
      <c r="C274"/>
      <c r="D274"/>
      <c r="E274"/>
      <c r="F274"/>
      <c r="G274" t="inlineStr">
        <is>
          <t>No empezada</t>
        </is>
      </c>
      <c r="H274" t="inlineStr">
        <is>
          <t>Pendiente</t>
        </is>
      </c>
      <c r="I274"/>
      <c r="J274"/>
      <c r="K274"/>
      <c r="L274">
        <f>IF(AND(ISNUMBER(J274),ISNUMBER(K274)),J274*K274/100,"")</f>
      </c>
      <c r="M274"/>
    </row>
    <row r="275">
      <c r="A275"/>
      <c r="B275"/>
      <c r="C275"/>
      <c r="D275"/>
      <c r="E275"/>
      <c r="F275"/>
      <c r="G275" t="inlineStr">
        <is>
          <t>No empezada</t>
        </is>
      </c>
      <c r="H275" t="inlineStr">
        <is>
          <t>Pendiente</t>
        </is>
      </c>
      <c r="I275"/>
      <c r="J275"/>
      <c r="K275"/>
      <c r="L275">
        <f>IF(AND(ISNUMBER(J275),ISNUMBER(K275)),J275*K275/100,"")</f>
      </c>
      <c r="M275"/>
    </row>
    <row r="276">
      <c r="A276"/>
      <c r="B276"/>
      <c r="C276"/>
      <c r="D276"/>
      <c r="E276"/>
      <c r="F276"/>
      <c r="G276" t="inlineStr">
        <is>
          <t>No empezada</t>
        </is>
      </c>
      <c r="H276" t="inlineStr">
        <is>
          <t>Pendiente</t>
        </is>
      </c>
      <c r="I276"/>
      <c r="J276"/>
      <c r="K276"/>
      <c r="L276">
        <f>IF(AND(ISNUMBER(J276),ISNUMBER(K276)),J276*K276/100,"")</f>
      </c>
      <c r="M276"/>
    </row>
    <row r="277">
      <c r="A277"/>
      <c r="B277"/>
      <c r="C277"/>
      <c r="D277"/>
      <c r="E277"/>
      <c r="F277"/>
      <c r="G277" t="inlineStr">
        <is>
          <t>No empezada</t>
        </is>
      </c>
      <c r="H277" t="inlineStr">
        <is>
          <t>Pendiente</t>
        </is>
      </c>
      <c r="I277"/>
      <c r="J277"/>
      <c r="K277"/>
      <c r="L277">
        <f>IF(AND(ISNUMBER(J277),ISNUMBER(K277)),J277*K277/100,"")</f>
      </c>
      <c r="M277"/>
    </row>
    <row r="278">
      <c r="A278"/>
      <c r="B278"/>
      <c r="C278"/>
      <c r="D278"/>
      <c r="E278"/>
      <c r="F278"/>
      <c r="G278" t="inlineStr">
        <is>
          <t>No empezada</t>
        </is>
      </c>
      <c r="H278" t="inlineStr">
        <is>
          <t>Pendiente</t>
        </is>
      </c>
      <c r="I278"/>
      <c r="J278"/>
      <c r="K278"/>
      <c r="L278">
        <f>IF(AND(ISNUMBER(J278),ISNUMBER(K278)),J278*K278/100,"")</f>
      </c>
      <c r="M278"/>
    </row>
    <row r="279">
      <c r="A279"/>
      <c r="B279"/>
      <c r="C279"/>
      <c r="D279"/>
      <c r="E279"/>
      <c r="F279"/>
      <c r="G279" t="inlineStr">
        <is>
          <t>No empezada</t>
        </is>
      </c>
      <c r="H279" t="inlineStr">
        <is>
          <t>Pendiente</t>
        </is>
      </c>
      <c r="I279"/>
      <c r="J279"/>
      <c r="K279"/>
      <c r="L279">
        <f>IF(AND(ISNUMBER(J279),ISNUMBER(K279)),J279*K279/100,"")</f>
      </c>
      <c r="M279"/>
    </row>
    <row r="280">
      <c r="A280"/>
      <c r="B280"/>
      <c r="C280"/>
      <c r="D280"/>
      <c r="E280"/>
      <c r="F280"/>
      <c r="G280" t="inlineStr">
        <is>
          <t>No empezada</t>
        </is>
      </c>
      <c r="H280" t="inlineStr">
        <is>
          <t>Pendiente</t>
        </is>
      </c>
      <c r="I280"/>
      <c r="J280"/>
      <c r="K280"/>
      <c r="L280">
        <f>IF(AND(ISNUMBER(J280),ISNUMBER(K280)),J280*K280/100,"")</f>
      </c>
      <c r="M280"/>
    </row>
    <row r="281">
      <c r="A281"/>
      <c r="B281"/>
      <c r="C281"/>
      <c r="D281"/>
      <c r="E281"/>
      <c r="F281"/>
      <c r="G281" t="inlineStr">
        <is>
          <t>No empezada</t>
        </is>
      </c>
      <c r="H281" t="inlineStr">
        <is>
          <t>Pendiente</t>
        </is>
      </c>
      <c r="I281"/>
      <c r="J281"/>
      <c r="K281"/>
      <c r="L281">
        <f>IF(AND(ISNUMBER(J281),ISNUMBER(K281)),J281*K281/100,"")</f>
      </c>
      <c r="M281"/>
    </row>
    <row r="282">
      <c r="A282"/>
      <c r="B282"/>
      <c r="C282"/>
      <c r="D282"/>
      <c r="E282"/>
      <c r="F282"/>
      <c r="G282" t="inlineStr">
        <is>
          <t>No empezada</t>
        </is>
      </c>
      <c r="H282" t="inlineStr">
        <is>
          <t>Pendiente</t>
        </is>
      </c>
      <c r="I282"/>
      <c r="J282"/>
      <c r="K282"/>
      <c r="L282">
        <f>IF(AND(ISNUMBER(J282),ISNUMBER(K282)),J282*K282/100,"")</f>
      </c>
      <c r="M282"/>
    </row>
    <row r="283">
      <c r="A283"/>
      <c r="B283"/>
      <c r="C283"/>
      <c r="D283"/>
      <c r="E283"/>
      <c r="F283"/>
      <c r="G283" t="inlineStr">
        <is>
          <t>No empezada</t>
        </is>
      </c>
      <c r="H283" t="inlineStr">
        <is>
          <t>Pendiente</t>
        </is>
      </c>
      <c r="I283"/>
      <c r="J283"/>
      <c r="K283"/>
      <c r="L283">
        <f>IF(AND(ISNUMBER(J283),ISNUMBER(K283)),J283*K283/100,"")</f>
      </c>
      <c r="M283"/>
    </row>
    <row r="284">
      <c r="A284"/>
      <c r="B284"/>
      <c r="C284"/>
      <c r="D284"/>
      <c r="E284"/>
      <c r="F284"/>
      <c r="G284" t="inlineStr">
        <is>
          <t>No empezada</t>
        </is>
      </c>
      <c r="H284" t="inlineStr">
        <is>
          <t>Pendiente</t>
        </is>
      </c>
      <c r="I284"/>
      <c r="J284"/>
      <c r="K284"/>
      <c r="L284">
        <f>IF(AND(ISNUMBER(J284),ISNUMBER(K284)),J284*K284/100,"")</f>
      </c>
      <c r="M284"/>
    </row>
    <row r="285">
      <c r="A285"/>
      <c r="B285"/>
      <c r="C285"/>
      <c r="D285"/>
      <c r="E285"/>
      <c r="F285"/>
      <c r="G285" t="inlineStr">
        <is>
          <t>No empezada</t>
        </is>
      </c>
      <c r="H285" t="inlineStr">
        <is>
          <t>Pendiente</t>
        </is>
      </c>
      <c r="I285"/>
      <c r="J285"/>
      <c r="K285"/>
      <c r="L285">
        <f>IF(AND(ISNUMBER(J285),ISNUMBER(K285)),J285*K285/100,"")</f>
      </c>
      <c r="M285"/>
    </row>
    <row r="286">
      <c r="A286"/>
      <c r="B286"/>
      <c r="C286"/>
      <c r="D286"/>
      <c r="E286"/>
      <c r="F286"/>
      <c r="G286" t="inlineStr">
        <is>
          <t>No empezada</t>
        </is>
      </c>
      <c r="H286" t="inlineStr">
        <is>
          <t>Pendiente</t>
        </is>
      </c>
      <c r="I286"/>
      <c r="J286"/>
      <c r="K286"/>
      <c r="L286">
        <f>IF(AND(ISNUMBER(J286),ISNUMBER(K286)),J286*K286/100,"")</f>
      </c>
      <c r="M286"/>
    </row>
    <row r="287">
      <c r="A287"/>
      <c r="B287"/>
      <c r="C287"/>
      <c r="D287"/>
      <c r="E287"/>
      <c r="F287"/>
      <c r="G287" t="inlineStr">
        <is>
          <t>No empezada</t>
        </is>
      </c>
      <c r="H287" t="inlineStr">
        <is>
          <t>Pendiente</t>
        </is>
      </c>
      <c r="I287"/>
      <c r="J287"/>
      <c r="K287"/>
      <c r="L287">
        <f>IF(AND(ISNUMBER(J287),ISNUMBER(K287)),J287*K287/100,"")</f>
      </c>
      <c r="M287"/>
    </row>
    <row r="288">
      <c r="A288"/>
      <c r="B288"/>
      <c r="C288"/>
      <c r="D288"/>
      <c r="E288"/>
      <c r="F288"/>
      <c r="G288" t="inlineStr">
        <is>
          <t>No empezada</t>
        </is>
      </c>
      <c r="H288" t="inlineStr">
        <is>
          <t>Pendiente</t>
        </is>
      </c>
      <c r="I288"/>
      <c r="J288"/>
      <c r="K288"/>
      <c r="L288">
        <f>IF(AND(ISNUMBER(J288),ISNUMBER(K288)),J288*K288/100,"")</f>
      </c>
      <c r="M288"/>
    </row>
    <row r="289">
      <c r="A289"/>
      <c r="B289"/>
      <c r="C289"/>
      <c r="D289"/>
      <c r="E289"/>
      <c r="F289"/>
      <c r="G289" t="inlineStr">
        <is>
          <t>No empezada</t>
        </is>
      </c>
      <c r="H289" t="inlineStr">
        <is>
          <t>Pendiente</t>
        </is>
      </c>
      <c r="I289"/>
      <c r="J289"/>
      <c r="K289"/>
      <c r="L289">
        <f>IF(AND(ISNUMBER(J289),ISNUMBER(K289)),J289*K289/100,"")</f>
      </c>
      <c r="M289"/>
    </row>
    <row r="290">
      <c r="A290"/>
      <c r="B290"/>
      <c r="C290"/>
      <c r="D290"/>
      <c r="E290"/>
      <c r="F290"/>
      <c r="G290" t="inlineStr">
        <is>
          <t>No empezada</t>
        </is>
      </c>
      <c r="H290" t="inlineStr">
        <is>
          <t>Pendiente</t>
        </is>
      </c>
      <c r="I290"/>
      <c r="J290"/>
      <c r="K290"/>
      <c r="L290">
        <f>IF(AND(ISNUMBER(J290),ISNUMBER(K290)),J290*K290/100,"")</f>
      </c>
      <c r="M290"/>
    </row>
    <row r="291">
      <c r="A291"/>
      <c r="B291"/>
      <c r="C291"/>
      <c r="D291"/>
      <c r="E291"/>
      <c r="F291"/>
      <c r="G291" t="inlineStr">
        <is>
          <t>No empezada</t>
        </is>
      </c>
      <c r="H291" t="inlineStr">
        <is>
          <t>Pendiente</t>
        </is>
      </c>
      <c r="I291"/>
      <c r="J291"/>
      <c r="K291"/>
      <c r="L291">
        <f>IF(AND(ISNUMBER(J291),ISNUMBER(K291)),J291*K291/100,"")</f>
      </c>
      <c r="M291"/>
    </row>
    <row r="292">
      <c r="A292"/>
      <c r="B292"/>
      <c r="C292"/>
      <c r="D292"/>
      <c r="E292"/>
      <c r="F292"/>
      <c r="G292" t="inlineStr">
        <is>
          <t>No empezada</t>
        </is>
      </c>
      <c r="H292" t="inlineStr">
        <is>
          <t>Pendiente</t>
        </is>
      </c>
      <c r="I292"/>
      <c r="J292"/>
      <c r="K292"/>
      <c r="L292">
        <f>IF(AND(ISNUMBER(J292),ISNUMBER(K292)),J292*K292/100,"")</f>
      </c>
      <c r="M292"/>
    </row>
    <row r="293">
      <c r="A293"/>
      <c r="B293"/>
      <c r="C293"/>
      <c r="D293"/>
      <c r="E293"/>
      <c r="F293"/>
      <c r="G293" t="inlineStr">
        <is>
          <t>No empezada</t>
        </is>
      </c>
      <c r="H293" t="inlineStr">
        <is>
          <t>Pendiente</t>
        </is>
      </c>
      <c r="I293"/>
      <c r="J293"/>
      <c r="K293"/>
      <c r="L293">
        <f>IF(AND(ISNUMBER(J293),ISNUMBER(K293)),J293*K293/100,"")</f>
      </c>
      <c r="M293"/>
    </row>
    <row r="294">
      <c r="A294"/>
      <c r="B294"/>
      <c r="C294"/>
      <c r="D294"/>
      <c r="E294"/>
      <c r="F294"/>
      <c r="G294" t="inlineStr">
        <is>
          <t>No empezada</t>
        </is>
      </c>
      <c r="H294" t="inlineStr">
        <is>
          <t>Pendiente</t>
        </is>
      </c>
      <c r="I294"/>
      <c r="J294"/>
      <c r="K294"/>
      <c r="L294">
        <f>IF(AND(ISNUMBER(J294),ISNUMBER(K294)),J294*K294/100,"")</f>
      </c>
      <c r="M294"/>
    </row>
    <row r="295">
      <c r="A295"/>
      <c r="B295"/>
      <c r="C295"/>
      <c r="D295"/>
      <c r="E295"/>
      <c r="F295"/>
      <c r="G295" t="inlineStr">
        <is>
          <t>No empezada</t>
        </is>
      </c>
      <c r="H295" t="inlineStr">
        <is>
          <t>Pendiente</t>
        </is>
      </c>
      <c r="I295"/>
      <c r="J295"/>
      <c r="K295"/>
      <c r="L295">
        <f>IF(AND(ISNUMBER(J295),ISNUMBER(K295)),J295*K295/100,"")</f>
      </c>
      <c r="M295"/>
    </row>
    <row r="296">
      <c r="A296"/>
      <c r="B296"/>
      <c r="C296"/>
      <c r="D296"/>
      <c r="E296"/>
      <c r="F296"/>
      <c r="G296" t="inlineStr">
        <is>
          <t>No empezada</t>
        </is>
      </c>
      <c r="H296" t="inlineStr">
        <is>
          <t>Pendiente</t>
        </is>
      </c>
      <c r="I296"/>
      <c r="J296"/>
      <c r="K296"/>
      <c r="L296">
        <f>IF(AND(ISNUMBER(J296),ISNUMBER(K296)),J296*K296/100,"")</f>
      </c>
      <c r="M296"/>
    </row>
    <row r="297">
      <c r="A297"/>
      <c r="B297"/>
      <c r="C297"/>
      <c r="D297"/>
      <c r="E297"/>
      <c r="F297"/>
      <c r="G297" t="inlineStr">
        <is>
          <t>No empezada</t>
        </is>
      </c>
      <c r="H297" t="inlineStr">
        <is>
          <t>Pendiente</t>
        </is>
      </c>
      <c r="I297"/>
      <c r="J297"/>
      <c r="K297"/>
      <c r="L297">
        <f>IF(AND(ISNUMBER(J297),ISNUMBER(K297)),J297*K297/100,"")</f>
      </c>
      <c r="M297"/>
    </row>
    <row r="298">
      <c r="A298"/>
      <c r="B298"/>
      <c r="C298"/>
      <c r="D298"/>
      <c r="E298"/>
      <c r="F298"/>
      <c r="G298" t="inlineStr">
        <is>
          <t>No empezada</t>
        </is>
      </c>
      <c r="H298" t="inlineStr">
        <is>
          <t>Pendiente</t>
        </is>
      </c>
      <c r="I298"/>
      <c r="J298"/>
      <c r="K298"/>
      <c r="L298">
        <f>IF(AND(ISNUMBER(J298),ISNUMBER(K298)),J298*K298/100,"")</f>
      </c>
      <c r="M298"/>
    </row>
    <row r="299">
      <c r="A299"/>
      <c r="B299"/>
      <c r="C299"/>
      <c r="D299"/>
      <c r="E299"/>
      <c r="F299"/>
      <c r="G299" t="inlineStr">
        <is>
          <t>No empezada</t>
        </is>
      </c>
      <c r="H299" t="inlineStr">
        <is>
          <t>Pendiente</t>
        </is>
      </c>
      <c r="I299"/>
      <c r="J299"/>
      <c r="K299"/>
      <c r="L299">
        <f>IF(AND(ISNUMBER(J299),ISNUMBER(K299)),J299*K299/100,"")</f>
      </c>
      <c r="M299"/>
    </row>
    <row r="300">
      <c r="A300"/>
      <c r="B300"/>
      <c r="C300"/>
      <c r="D300"/>
      <c r="E300"/>
      <c r="F300"/>
      <c r="G300" t="inlineStr">
        <is>
          <t>No empezada</t>
        </is>
      </c>
      <c r="H300" t="inlineStr">
        <is>
          <t>Pendiente</t>
        </is>
      </c>
      <c r="I300"/>
      <c r="J300"/>
      <c r="K300"/>
      <c r="L300">
        <f>IF(AND(ISNUMBER(J300),ISNUMBER(K300)),J300*K300/100,"")</f>
      </c>
      <c r="M300"/>
    </row>
    <row r="301">
      <c r="A301"/>
      <c r="B301"/>
      <c r="C301"/>
      <c r="D301"/>
      <c r="E301"/>
      <c r="F301"/>
      <c r="G301" t="inlineStr">
        <is>
          <t>No empezada</t>
        </is>
      </c>
      <c r="H301" t="inlineStr">
        <is>
          <t>Pendiente</t>
        </is>
      </c>
      <c r="I301"/>
      <c r="J301"/>
      <c r="K301"/>
      <c r="L301">
        <f>IF(AND(ISNUMBER(J301),ISNUMBER(K301)),J301*K301/100,"")</f>
      </c>
      <c r="M301"/>
    </row>
  </sheetData>
  <autoFilter ref="A1:M301"/>
  <dataValidations count="2">
    <dataValidation type="list" allowBlank="1" showErrorMessage="1" sqref="G2:G500">
      <formula1>"No empezada,En curso,Entregada,No entregada"</formula1>
    </dataValidation>
    <dataValidation type="list" allowBlank="1" showErrorMessage="1" sqref="H2:H500">
      <formula1>"Pendiente,En corrección,Corregida,Devuelta"</formula1>
    </dataValidation>
  </dataValidation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cols>
    <col min="1" max="1" width="28" customWidth="1"/>
    <col min="2" max="2" width="14" customWidth="1"/>
    <col min="3" max="3" width="16" customWidth="1"/>
    <col min="4" max="4" width="18" customWidth="1"/>
    <col min="5" max="5" width="24" customWidth="1"/>
    <col min="6" max="6" width="24" customWidth="1"/>
  </cols>
  <sheetFormatPr defaultRowHeight="15"/>
  <sheetData>
    <row r="1">
      <c r="A1" t="inlineStr" s="1">
        <is>
          <t>Alumno</t>
        </is>
      </c>
      <c r="B1" t="inlineStr" s="1">
        <is>
          <t>Grupo</t>
        </is>
      </c>
      <c r="C1" t="inlineStr" s="1">
        <is>
          <t>Media simple</t>
        </is>
      </c>
      <c r="D1" t="inlineStr" s="1">
        <is>
          <t>Media ponderada</t>
        </is>
      </c>
      <c r="E1" t="inlineStr" s="1">
        <is>
          <t>Actividades registradas</t>
        </is>
      </c>
      <c r="F1" t="inlineStr" s="1">
        <is>
          <t>Pendientes corrección</t>
        </is>
      </c>
    </row>
    <row r="2">
      <c r="A2"/>
      <c r="B2"/>
      <c r="C2">
        <f>IF(A2="","",IFERROR(AVERAGEIF(Registro_Notas!$A:$A,A2,Registro_Notas!$J:$J),""))</f>
      </c>
      <c r="D2">
        <f>IF(A2="","",IFERROR(SUMIF(Registro_Notas!$A:$A,A2,Registro_Notas!$L:$L),""))</f>
      </c>
      <c r="E2">
        <f>IF(A2="","",COUNTIF(Registro_Notas!$A:$A,A2))</f>
      </c>
      <c r="F2">
        <f>IF(A2="","",COUNTIFS(Registro_Notas!$A:$A,A2,Registro_Notas!$H:$H,"&lt;&gt;Corregida",Registro_Notas!$D:$D,"&lt;&gt;"))</f>
      </c>
    </row>
    <row r="3">
      <c r="A3"/>
      <c r="B3"/>
      <c r="C3">
        <f>IF(A3="","",IFERROR(AVERAGEIF(Registro_Notas!$A:$A,A3,Registro_Notas!$J:$J),""))</f>
      </c>
      <c r="D3">
        <f>IF(A3="","",IFERROR(SUMIF(Registro_Notas!$A:$A,A3,Registro_Notas!$L:$L),""))</f>
      </c>
      <c r="E3">
        <f>IF(A3="","",COUNTIF(Registro_Notas!$A:$A,A3))</f>
      </c>
      <c r="F3">
        <f>IF(A3="","",COUNTIFS(Registro_Notas!$A:$A,A3,Registro_Notas!$H:$H,"&lt;&gt;Corregida",Registro_Notas!$D:$D,"&lt;&gt;"))</f>
      </c>
    </row>
    <row r="4">
      <c r="A4"/>
      <c r="B4"/>
      <c r="C4">
        <f>IF(A4="","",IFERROR(AVERAGEIF(Registro_Notas!$A:$A,A4,Registro_Notas!$J:$J),""))</f>
      </c>
      <c r="D4">
        <f>IF(A4="","",IFERROR(SUMIF(Registro_Notas!$A:$A,A4,Registro_Notas!$L:$L),""))</f>
      </c>
      <c r="E4">
        <f>IF(A4="","",COUNTIF(Registro_Notas!$A:$A,A4))</f>
      </c>
      <c r="F4">
        <f>IF(A4="","",COUNTIFS(Registro_Notas!$A:$A,A4,Registro_Notas!$H:$H,"&lt;&gt;Corregida",Registro_Notas!$D:$D,"&lt;&gt;"))</f>
      </c>
    </row>
    <row r="5">
      <c r="A5"/>
      <c r="B5"/>
      <c r="C5">
        <f>IF(A5="","",IFERROR(AVERAGEIF(Registro_Notas!$A:$A,A5,Registro_Notas!$J:$J),""))</f>
      </c>
      <c r="D5">
        <f>IF(A5="","",IFERROR(SUMIF(Registro_Notas!$A:$A,A5,Registro_Notas!$L:$L),""))</f>
      </c>
      <c r="E5">
        <f>IF(A5="","",COUNTIF(Registro_Notas!$A:$A,A5))</f>
      </c>
      <c r="F5">
        <f>IF(A5="","",COUNTIFS(Registro_Notas!$A:$A,A5,Registro_Notas!$H:$H,"&lt;&gt;Corregida",Registro_Notas!$D:$D,"&lt;&gt;"))</f>
      </c>
    </row>
    <row r="6">
      <c r="A6"/>
      <c r="B6"/>
      <c r="C6">
        <f>IF(A6="","",IFERROR(AVERAGEIF(Registro_Notas!$A:$A,A6,Registro_Notas!$J:$J),""))</f>
      </c>
      <c r="D6">
        <f>IF(A6="","",IFERROR(SUMIF(Registro_Notas!$A:$A,A6,Registro_Notas!$L:$L),""))</f>
      </c>
      <c r="E6">
        <f>IF(A6="","",COUNTIF(Registro_Notas!$A:$A,A6))</f>
      </c>
      <c r="F6">
        <f>IF(A6="","",COUNTIFS(Registro_Notas!$A:$A,A6,Registro_Notas!$H:$H,"&lt;&gt;Corregida",Registro_Notas!$D:$D,"&lt;&gt;"))</f>
      </c>
    </row>
    <row r="7">
      <c r="A7"/>
      <c r="B7"/>
      <c r="C7">
        <f>IF(A7="","",IFERROR(AVERAGEIF(Registro_Notas!$A:$A,A7,Registro_Notas!$J:$J),""))</f>
      </c>
      <c r="D7">
        <f>IF(A7="","",IFERROR(SUMIF(Registro_Notas!$A:$A,A7,Registro_Notas!$L:$L),""))</f>
      </c>
      <c r="E7">
        <f>IF(A7="","",COUNTIF(Registro_Notas!$A:$A,A7))</f>
      </c>
      <c r="F7">
        <f>IF(A7="","",COUNTIFS(Registro_Notas!$A:$A,A7,Registro_Notas!$H:$H,"&lt;&gt;Corregida",Registro_Notas!$D:$D,"&lt;&gt;"))</f>
      </c>
    </row>
    <row r="8">
      <c r="A8"/>
      <c r="B8"/>
      <c r="C8">
        <f>IF(A8="","",IFERROR(AVERAGEIF(Registro_Notas!$A:$A,A8,Registro_Notas!$J:$J),""))</f>
      </c>
      <c r="D8">
        <f>IF(A8="","",IFERROR(SUMIF(Registro_Notas!$A:$A,A8,Registro_Notas!$L:$L),""))</f>
      </c>
      <c r="E8">
        <f>IF(A8="","",COUNTIF(Registro_Notas!$A:$A,A8))</f>
      </c>
      <c r="F8">
        <f>IF(A8="","",COUNTIFS(Registro_Notas!$A:$A,A8,Registro_Notas!$H:$H,"&lt;&gt;Corregida",Registro_Notas!$D:$D,"&lt;&gt;"))</f>
      </c>
    </row>
    <row r="9">
      <c r="A9"/>
      <c r="B9"/>
      <c r="C9">
        <f>IF(A9="","",IFERROR(AVERAGEIF(Registro_Notas!$A:$A,A9,Registro_Notas!$J:$J),""))</f>
      </c>
      <c r="D9">
        <f>IF(A9="","",IFERROR(SUMIF(Registro_Notas!$A:$A,A9,Registro_Notas!$L:$L),""))</f>
      </c>
      <c r="E9">
        <f>IF(A9="","",COUNTIF(Registro_Notas!$A:$A,A9))</f>
      </c>
      <c r="F9">
        <f>IF(A9="","",COUNTIFS(Registro_Notas!$A:$A,A9,Registro_Notas!$H:$H,"&lt;&gt;Corregida",Registro_Notas!$D:$D,"&lt;&gt;"))</f>
      </c>
    </row>
    <row r="10">
      <c r="A10"/>
      <c r="B10"/>
      <c r="C10">
        <f>IF(A10="","",IFERROR(AVERAGEIF(Registro_Notas!$A:$A,A10,Registro_Notas!$J:$J),""))</f>
      </c>
      <c r="D10">
        <f>IF(A10="","",IFERROR(SUMIF(Registro_Notas!$A:$A,A10,Registro_Notas!$L:$L),""))</f>
      </c>
      <c r="E10">
        <f>IF(A10="","",COUNTIF(Registro_Notas!$A:$A,A10))</f>
      </c>
      <c r="F10">
        <f>IF(A10="","",COUNTIFS(Registro_Notas!$A:$A,A10,Registro_Notas!$H:$H,"&lt;&gt;Corregida",Registro_Notas!$D:$D,"&lt;&gt;"))</f>
      </c>
    </row>
    <row r="11">
      <c r="A11"/>
      <c r="B11"/>
      <c r="C11">
        <f>IF(A11="","",IFERROR(AVERAGEIF(Registro_Notas!$A:$A,A11,Registro_Notas!$J:$J),""))</f>
      </c>
      <c r="D11">
        <f>IF(A11="","",IFERROR(SUMIF(Registro_Notas!$A:$A,A11,Registro_Notas!$L:$L),""))</f>
      </c>
      <c r="E11">
        <f>IF(A11="","",COUNTIF(Registro_Notas!$A:$A,A11))</f>
      </c>
      <c r="F11">
        <f>IF(A11="","",COUNTIFS(Registro_Notas!$A:$A,A11,Registro_Notas!$H:$H,"&lt;&gt;Corregida",Registro_Notas!$D:$D,"&lt;&gt;"))</f>
      </c>
    </row>
    <row r="12">
      <c r="A12"/>
      <c r="B12"/>
      <c r="C12">
        <f>IF(A12="","",IFERROR(AVERAGEIF(Registro_Notas!$A:$A,A12,Registro_Notas!$J:$J),""))</f>
      </c>
      <c r="D12">
        <f>IF(A12="","",IFERROR(SUMIF(Registro_Notas!$A:$A,A12,Registro_Notas!$L:$L),""))</f>
      </c>
      <c r="E12">
        <f>IF(A12="","",COUNTIF(Registro_Notas!$A:$A,A12))</f>
      </c>
      <c r="F12">
        <f>IF(A12="","",COUNTIFS(Registro_Notas!$A:$A,A12,Registro_Notas!$H:$H,"&lt;&gt;Corregida",Registro_Notas!$D:$D,"&lt;&gt;"))</f>
      </c>
    </row>
    <row r="13">
      <c r="A13"/>
      <c r="B13"/>
      <c r="C13">
        <f>IF(A13="","",IFERROR(AVERAGEIF(Registro_Notas!$A:$A,A13,Registro_Notas!$J:$J),""))</f>
      </c>
      <c r="D13">
        <f>IF(A13="","",IFERROR(SUMIF(Registro_Notas!$A:$A,A13,Registro_Notas!$L:$L),""))</f>
      </c>
      <c r="E13">
        <f>IF(A13="","",COUNTIF(Registro_Notas!$A:$A,A13))</f>
      </c>
      <c r="F13">
        <f>IF(A13="","",COUNTIFS(Registro_Notas!$A:$A,A13,Registro_Notas!$H:$H,"&lt;&gt;Corregida",Registro_Notas!$D:$D,"&lt;&gt;"))</f>
      </c>
    </row>
    <row r="14">
      <c r="A14"/>
      <c r="B14"/>
      <c r="C14">
        <f>IF(A14="","",IFERROR(AVERAGEIF(Registro_Notas!$A:$A,A14,Registro_Notas!$J:$J),""))</f>
      </c>
      <c r="D14">
        <f>IF(A14="","",IFERROR(SUMIF(Registro_Notas!$A:$A,A14,Registro_Notas!$L:$L),""))</f>
      </c>
      <c r="E14">
        <f>IF(A14="","",COUNTIF(Registro_Notas!$A:$A,A14))</f>
      </c>
      <c r="F14">
        <f>IF(A14="","",COUNTIFS(Registro_Notas!$A:$A,A14,Registro_Notas!$H:$H,"&lt;&gt;Corregida",Registro_Notas!$D:$D,"&lt;&gt;"))</f>
      </c>
    </row>
    <row r="15">
      <c r="A15"/>
      <c r="B15"/>
      <c r="C15">
        <f>IF(A15="","",IFERROR(AVERAGEIF(Registro_Notas!$A:$A,A15,Registro_Notas!$J:$J),""))</f>
      </c>
      <c r="D15">
        <f>IF(A15="","",IFERROR(SUMIF(Registro_Notas!$A:$A,A15,Registro_Notas!$L:$L),""))</f>
      </c>
      <c r="E15">
        <f>IF(A15="","",COUNTIF(Registro_Notas!$A:$A,A15))</f>
      </c>
      <c r="F15">
        <f>IF(A15="","",COUNTIFS(Registro_Notas!$A:$A,A15,Registro_Notas!$H:$H,"&lt;&gt;Corregida",Registro_Notas!$D:$D,"&lt;&gt;"))</f>
      </c>
    </row>
    <row r="16">
      <c r="A16"/>
      <c r="B16"/>
      <c r="C16">
        <f>IF(A16="","",IFERROR(AVERAGEIF(Registro_Notas!$A:$A,A16,Registro_Notas!$J:$J),""))</f>
      </c>
      <c r="D16">
        <f>IF(A16="","",IFERROR(SUMIF(Registro_Notas!$A:$A,A16,Registro_Notas!$L:$L),""))</f>
      </c>
      <c r="E16">
        <f>IF(A16="","",COUNTIF(Registro_Notas!$A:$A,A16))</f>
      </c>
      <c r="F16">
        <f>IF(A16="","",COUNTIFS(Registro_Notas!$A:$A,A16,Registro_Notas!$H:$H,"&lt;&gt;Corregida",Registro_Notas!$D:$D,"&lt;&gt;"))</f>
      </c>
    </row>
    <row r="17">
      <c r="A17"/>
      <c r="B17"/>
      <c r="C17">
        <f>IF(A17="","",IFERROR(AVERAGEIF(Registro_Notas!$A:$A,A17,Registro_Notas!$J:$J),""))</f>
      </c>
      <c r="D17">
        <f>IF(A17="","",IFERROR(SUMIF(Registro_Notas!$A:$A,A17,Registro_Notas!$L:$L),""))</f>
      </c>
      <c r="E17">
        <f>IF(A17="","",COUNTIF(Registro_Notas!$A:$A,A17))</f>
      </c>
      <c r="F17">
        <f>IF(A17="","",COUNTIFS(Registro_Notas!$A:$A,A17,Registro_Notas!$H:$H,"&lt;&gt;Corregida",Registro_Notas!$D:$D,"&lt;&gt;"))</f>
      </c>
    </row>
    <row r="18">
      <c r="A18"/>
      <c r="B18"/>
      <c r="C18">
        <f>IF(A18="","",IFERROR(AVERAGEIF(Registro_Notas!$A:$A,A18,Registro_Notas!$J:$J),""))</f>
      </c>
      <c r="D18">
        <f>IF(A18="","",IFERROR(SUMIF(Registro_Notas!$A:$A,A18,Registro_Notas!$L:$L),""))</f>
      </c>
      <c r="E18">
        <f>IF(A18="","",COUNTIF(Registro_Notas!$A:$A,A18))</f>
      </c>
      <c r="F18">
        <f>IF(A18="","",COUNTIFS(Registro_Notas!$A:$A,A18,Registro_Notas!$H:$H,"&lt;&gt;Corregida",Registro_Notas!$D:$D,"&lt;&gt;"))</f>
      </c>
    </row>
    <row r="19">
      <c r="A19"/>
      <c r="B19"/>
      <c r="C19">
        <f>IF(A19="","",IFERROR(AVERAGEIF(Registro_Notas!$A:$A,A19,Registro_Notas!$J:$J),""))</f>
      </c>
      <c r="D19">
        <f>IF(A19="","",IFERROR(SUMIF(Registro_Notas!$A:$A,A19,Registro_Notas!$L:$L),""))</f>
      </c>
      <c r="E19">
        <f>IF(A19="","",COUNTIF(Registro_Notas!$A:$A,A19))</f>
      </c>
      <c r="F19">
        <f>IF(A19="","",COUNTIFS(Registro_Notas!$A:$A,A19,Registro_Notas!$H:$H,"&lt;&gt;Corregida",Registro_Notas!$D:$D,"&lt;&gt;"))</f>
      </c>
    </row>
    <row r="20">
      <c r="A20"/>
      <c r="B20"/>
      <c r="C20">
        <f>IF(A20="","",IFERROR(AVERAGEIF(Registro_Notas!$A:$A,A20,Registro_Notas!$J:$J),""))</f>
      </c>
      <c r="D20">
        <f>IF(A20="","",IFERROR(SUMIF(Registro_Notas!$A:$A,A20,Registro_Notas!$L:$L),""))</f>
      </c>
      <c r="E20">
        <f>IF(A20="","",COUNTIF(Registro_Notas!$A:$A,A20))</f>
      </c>
      <c r="F20">
        <f>IF(A20="","",COUNTIFS(Registro_Notas!$A:$A,A20,Registro_Notas!$H:$H,"&lt;&gt;Corregida",Registro_Notas!$D:$D,"&lt;&gt;"))</f>
      </c>
    </row>
    <row r="21">
      <c r="A21"/>
      <c r="B21"/>
      <c r="C21">
        <f>IF(A21="","",IFERROR(AVERAGEIF(Registro_Notas!$A:$A,A21,Registro_Notas!$J:$J),""))</f>
      </c>
      <c r="D21">
        <f>IF(A21="","",IFERROR(SUMIF(Registro_Notas!$A:$A,A21,Registro_Notas!$L:$L),""))</f>
      </c>
      <c r="E21">
        <f>IF(A21="","",COUNTIF(Registro_Notas!$A:$A,A21))</f>
      </c>
      <c r="F21">
        <f>IF(A21="","",COUNTIFS(Registro_Notas!$A:$A,A21,Registro_Notas!$H:$H,"&lt;&gt;Corregida",Registro_Notas!$D:$D,"&lt;&gt;"))</f>
      </c>
    </row>
    <row r="22">
      <c r="A22"/>
      <c r="B22"/>
      <c r="C22">
        <f>IF(A22="","",IFERROR(AVERAGEIF(Registro_Notas!$A:$A,A22,Registro_Notas!$J:$J),""))</f>
      </c>
      <c r="D22">
        <f>IF(A22="","",IFERROR(SUMIF(Registro_Notas!$A:$A,A22,Registro_Notas!$L:$L),""))</f>
      </c>
      <c r="E22">
        <f>IF(A22="","",COUNTIF(Registro_Notas!$A:$A,A22))</f>
      </c>
      <c r="F22">
        <f>IF(A22="","",COUNTIFS(Registro_Notas!$A:$A,A22,Registro_Notas!$H:$H,"&lt;&gt;Corregida",Registro_Notas!$D:$D,"&lt;&gt;"))</f>
      </c>
    </row>
    <row r="23">
      <c r="A23"/>
      <c r="B23"/>
      <c r="C23">
        <f>IF(A23="","",IFERROR(AVERAGEIF(Registro_Notas!$A:$A,A23,Registro_Notas!$J:$J),""))</f>
      </c>
      <c r="D23">
        <f>IF(A23="","",IFERROR(SUMIF(Registro_Notas!$A:$A,A23,Registro_Notas!$L:$L),""))</f>
      </c>
      <c r="E23">
        <f>IF(A23="","",COUNTIF(Registro_Notas!$A:$A,A23))</f>
      </c>
      <c r="F23">
        <f>IF(A23="","",COUNTIFS(Registro_Notas!$A:$A,A23,Registro_Notas!$H:$H,"&lt;&gt;Corregida",Registro_Notas!$D:$D,"&lt;&gt;"))</f>
      </c>
    </row>
    <row r="24">
      <c r="A24"/>
      <c r="B24"/>
      <c r="C24">
        <f>IF(A24="","",IFERROR(AVERAGEIF(Registro_Notas!$A:$A,A24,Registro_Notas!$J:$J),""))</f>
      </c>
      <c r="D24">
        <f>IF(A24="","",IFERROR(SUMIF(Registro_Notas!$A:$A,A24,Registro_Notas!$L:$L),""))</f>
      </c>
      <c r="E24">
        <f>IF(A24="","",COUNTIF(Registro_Notas!$A:$A,A24))</f>
      </c>
      <c r="F24">
        <f>IF(A24="","",COUNTIFS(Registro_Notas!$A:$A,A24,Registro_Notas!$H:$H,"&lt;&gt;Corregida",Registro_Notas!$D:$D,"&lt;&gt;"))</f>
      </c>
    </row>
    <row r="25">
      <c r="A25"/>
      <c r="B25"/>
      <c r="C25">
        <f>IF(A25="","",IFERROR(AVERAGEIF(Registro_Notas!$A:$A,A25,Registro_Notas!$J:$J),""))</f>
      </c>
      <c r="D25">
        <f>IF(A25="","",IFERROR(SUMIF(Registro_Notas!$A:$A,A25,Registro_Notas!$L:$L),""))</f>
      </c>
      <c r="E25">
        <f>IF(A25="","",COUNTIF(Registro_Notas!$A:$A,A25))</f>
      </c>
      <c r="F25">
        <f>IF(A25="","",COUNTIFS(Registro_Notas!$A:$A,A25,Registro_Notas!$H:$H,"&lt;&gt;Corregida",Registro_Notas!$D:$D,"&lt;&gt;"))</f>
      </c>
    </row>
    <row r="26">
      <c r="A26"/>
      <c r="B26"/>
      <c r="C26">
        <f>IF(A26="","",IFERROR(AVERAGEIF(Registro_Notas!$A:$A,A26,Registro_Notas!$J:$J),""))</f>
      </c>
      <c r="D26">
        <f>IF(A26="","",IFERROR(SUMIF(Registro_Notas!$A:$A,A26,Registro_Notas!$L:$L),""))</f>
      </c>
      <c r="E26">
        <f>IF(A26="","",COUNTIF(Registro_Notas!$A:$A,A26))</f>
      </c>
      <c r="F26">
        <f>IF(A26="","",COUNTIFS(Registro_Notas!$A:$A,A26,Registro_Notas!$H:$H,"&lt;&gt;Corregida",Registro_Notas!$D:$D,"&lt;&gt;"))</f>
      </c>
    </row>
    <row r="27">
      <c r="A27"/>
      <c r="B27"/>
      <c r="C27">
        <f>IF(A27="","",IFERROR(AVERAGEIF(Registro_Notas!$A:$A,A27,Registro_Notas!$J:$J),""))</f>
      </c>
      <c r="D27">
        <f>IF(A27="","",IFERROR(SUMIF(Registro_Notas!$A:$A,A27,Registro_Notas!$L:$L),""))</f>
      </c>
      <c r="E27">
        <f>IF(A27="","",COUNTIF(Registro_Notas!$A:$A,A27))</f>
      </c>
      <c r="F27">
        <f>IF(A27="","",COUNTIFS(Registro_Notas!$A:$A,A27,Registro_Notas!$H:$H,"&lt;&gt;Corregida",Registro_Notas!$D:$D,"&lt;&gt;"))</f>
      </c>
    </row>
    <row r="28">
      <c r="A28"/>
      <c r="B28"/>
      <c r="C28">
        <f>IF(A28="","",IFERROR(AVERAGEIF(Registro_Notas!$A:$A,A28,Registro_Notas!$J:$J),""))</f>
      </c>
      <c r="D28">
        <f>IF(A28="","",IFERROR(SUMIF(Registro_Notas!$A:$A,A28,Registro_Notas!$L:$L),""))</f>
      </c>
      <c r="E28">
        <f>IF(A28="","",COUNTIF(Registro_Notas!$A:$A,A28))</f>
      </c>
      <c r="F28">
        <f>IF(A28="","",COUNTIFS(Registro_Notas!$A:$A,A28,Registro_Notas!$H:$H,"&lt;&gt;Corregida",Registro_Notas!$D:$D,"&lt;&gt;"))</f>
      </c>
    </row>
    <row r="29">
      <c r="A29"/>
      <c r="B29"/>
      <c r="C29">
        <f>IF(A29="","",IFERROR(AVERAGEIF(Registro_Notas!$A:$A,A29,Registro_Notas!$J:$J),""))</f>
      </c>
      <c r="D29">
        <f>IF(A29="","",IFERROR(SUMIF(Registro_Notas!$A:$A,A29,Registro_Notas!$L:$L),""))</f>
      </c>
      <c r="E29">
        <f>IF(A29="","",COUNTIF(Registro_Notas!$A:$A,A29))</f>
      </c>
      <c r="F29">
        <f>IF(A29="","",COUNTIFS(Registro_Notas!$A:$A,A29,Registro_Notas!$H:$H,"&lt;&gt;Corregida",Registro_Notas!$D:$D,"&lt;&gt;"))</f>
      </c>
    </row>
    <row r="30">
      <c r="A30"/>
      <c r="B30"/>
      <c r="C30">
        <f>IF(A30="","",IFERROR(AVERAGEIF(Registro_Notas!$A:$A,A30,Registro_Notas!$J:$J),""))</f>
      </c>
      <c r="D30">
        <f>IF(A30="","",IFERROR(SUMIF(Registro_Notas!$A:$A,A30,Registro_Notas!$L:$L),""))</f>
      </c>
      <c r="E30">
        <f>IF(A30="","",COUNTIF(Registro_Notas!$A:$A,A30))</f>
      </c>
      <c r="F30">
        <f>IF(A30="","",COUNTIFS(Registro_Notas!$A:$A,A30,Registro_Notas!$H:$H,"&lt;&gt;Corregida",Registro_Notas!$D:$D,"&lt;&gt;"))</f>
      </c>
    </row>
    <row r="31">
      <c r="A31"/>
      <c r="B31"/>
      <c r="C31">
        <f>IF(A31="","",IFERROR(AVERAGEIF(Registro_Notas!$A:$A,A31,Registro_Notas!$J:$J),""))</f>
      </c>
      <c r="D31">
        <f>IF(A31="","",IFERROR(SUMIF(Registro_Notas!$A:$A,A31,Registro_Notas!$L:$L),""))</f>
      </c>
      <c r="E31">
        <f>IF(A31="","",COUNTIF(Registro_Notas!$A:$A,A31))</f>
      </c>
      <c r="F31">
        <f>IF(A31="","",COUNTIFS(Registro_Notas!$A:$A,A31,Registro_Notas!$H:$H,"&lt;&gt;Corregida",Registro_Notas!$D:$D,"&lt;&gt;"))</f>
      </c>
    </row>
    <row r="32">
      <c r="A32"/>
      <c r="B32"/>
      <c r="C32">
        <f>IF(A32="","",IFERROR(AVERAGEIF(Registro_Notas!$A:$A,A32,Registro_Notas!$J:$J),""))</f>
      </c>
      <c r="D32">
        <f>IF(A32="","",IFERROR(SUMIF(Registro_Notas!$A:$A,A32,Registro_Notas!$L:$L),""))</f>
      </c>
      <c r="E32">
        <f>IF(A32="","",COUNTIF(Registro_Notas!$A:$A,A32))</f>
      </c>
      <c r="F32">
        <f>IF(A32="","",COUNTIFS(Registro_Notas!$A:$A,A32,Registro_Notas!$H:$H,"&lt;&gt;Corregida",Registro_Notas!$D:$D,"&lt;&gt;"))</f>
      </c>
    </row>
    <row r="33">
      <c r="A33"/>
      <c r="B33"/>
      <c r="C33">
        <f>IF(A33="","",IFERROR(AVERAGEIF(Registro_Notas!$A:$A,A33,Registro_Notas!$J:$J),""))</f>
      </c>
      <c r="D33">
        <f>IF(A33="","",IFERROR(SUMIF(Registro_Notas!$A:$A,A33,Registro_Notas!$L:$L),""))</f>
      </c>
      <c r="E33">
        <f>IF(A33="","",COUNTIF(Registro_Notas!$A:$A,A33))</f>
      </c>
      <c r="F33">
        <f>IF(A33="","",COUNTIFS(Registro_Notas!$A:$A,A33,Registro_Notas!$H:$H,"&lt;&gt;Corregida",Registro_Notas!$D:$D,"&lt;&gt;"))</f>
      </c>
    </row>
    <row r="34">
      <c r="A34"/>
      <c r="B34"/>
      <c r="C34">
        <f>IF(A34="","",IFERROR(AVERAGEIF(Registro_Notas!$A:$A,A34,Registro_Notas!$J:$J),""))</f>
      </c>
      <c r="D34">
        <f>IF(A34="","",IFERROR(SUMIF(Registro_Notas!$A:$A,A34,Registro_Notas!$L:$L),""))</f>
      </c>
      <c r="E34">
        <f>IF(A34="","",COUNTIF(Registro_Notas!$A:$A,A34))</f>
      </c>
      <c r="F34">
        <f>IF(A34="","",COUNTIFS(Registro_Notas!$A:$A,A34,Registro_Notas!$H:$H,"&lt;&gt;Corregida",Registro_Notas!$D:$D,"&lt;&gt;"))</f>
      </c>
    </row>
    <row r="35">
      <c r="A35"/>
      <c r="B35"/>
      <c r="C35">
        <f>IF(A35="","",IFERROR(AVERAGEIF(Registro_Notas!$A:$A,A35,Registro_Notas!$J:$J),""))</f>
      </c>
      <c r="D35">
        <f>IF(A35="","",IFERROR(SUMIF(Registro_Notas!$A:$A,A35,Registro_Notas!$L:$L),""))</f>
      </c>
      <c r="E35">
        <f>IF(A35="","",COUNTIF(Registro_Notas!$A:$A,A35))</f>
      </c>
      <c r="F35">
        <f>IF(A35="","",COUNTIFS(Registro_Notas!$A:$A,A35,Registro_Notas!$H:$H,"&lt;&gt;Corregida",Registro_Notas!$D:$D,"&lt;&gt;"))</f>
      </c>
    </row>
    <row r="36">
      <c r="A36"/>
      <c r="B36"/>
      <c r="C36">
        <f>IF(A36="","",IFERROR(AVERAGEIF(Registro_Notas!$A:$A,A36,Registro_Notas!$J:$J),""))</f>
      </c>
      <c r="D36">
        <f>IF(A36="","",IFERROR(SUMIF(Registro_Notas!$A:$A,A36,Registro_Notas!$L:$L),""))</f>
      </c>
      <c r="E36">
        <f>IF(A36="","",COUNTIF(Registro_Notas!$A:$A,A36))</f>
      </c>
      <c r="F36">
        <f>IF(A36="","",COUNTIFS(Registro_Notas!$A:$A,A36,Registro_Notas!$H:$H,"&lt;&gt;Corregida",Registro_Notas!$D:$D,"&lt;&gt;"))</f>
      </c>
    </row>
    <row r="37">
      <c r="A37"/>
      <c r="B37"/>
      <c r="C37">
        <f>IF(A37="","",IFERROR(AVERAGEIF(Registro_Notas!$A:$A,A37,Registro_Notas!$J:$J),""))</f>
      </c>
      <c r="D37">
        <f>IF(A37="","",IFERROR(SUMIF(Registro_Notas!$A:$A,A37,Registro_Notas!$L:$L),""))</f>
      </c>
      <c r="E37">
        <f>IF(A37="","",COUNTIF(Registro_Notas!$A:$A,A37))</f>
      </c>
      <c r="F37">
        <f>IF(A37="","",COUNTIFS(Registro_Notas!$A:$A,A37,Registro_Notas!$H:$H,"&lt;&gt;Corregida",Registro_Notas!$D:$D,"&lt;&gt;"))</f>
      </c>
    </row>
    <row r="38">
      <c r="A38"/>
      <c r="B38"/>
      <c r="C38">
        <f>IF(A38="","",IFERROR(AVERAGEIF(Registro_Notas!$A:$A,A38,Registro_Notas!$J:$J),""))</f>
      </c>
      <c r="D38">
        <f>IF(A38="","",IFERROR(SUMIF(Registro_Notas!$A:$A,A38,Registro_Notas!$L:$L),""))</f>
      </c>
      <c r="E38">
        <f>IF(A38="","",COUNTIF(Registro_Notas!$A:$A,A38))</f>
      </c>
      <c r="F38">
        <f>IF(A38="","",COUNTIFS(Registro_Notas!$A:$A,A38,Registro_Notas!$H:$H,"&lt;&gt;Corregida",Registro_Notas!$D:$D,"&lt;&gt;"))</f>
      </c>
    </row>
    <row r="39">
      <c r="A39"/>
      <c r="B39"/>
      <c r="C39">
        <f>IF(A39="","",IFERROR(AVERAGEIF(Registro_Notas!$A:$A,A39,Registro_Notas!$J:$J),""))</f>
      </c>
      <c r="D39">
        <f>IF(A39="","",IFERROR(SUMIF(Registro_Notas!$A:$A,A39,Registro_Notas!$L:$L),""))</f>
      </c>
      <c r="E39">
        <f>IF(A39="","",COUNTIF(Registro_Notas!$A:$A,A39))</f>
      </c>
      <c r="F39">
        <f>IF(A39="","",COUNTIFS(Registro_Notas!$A:$A,A39,Registro_Notas!$H:$H,"&lt;&gt;Corregida",Registro_Notas!$D:$D,"&lt;&gt;"))</f>
      </c>
    </row>
    <row r="40">
      <c r="A40"/>
      <c r="B40"/>
      <c r="C40">
        <f>IF(A40="","",IFERROR(AVERAGEIF(Registro_Notas!$A:$A,A40,Registro_Notas!$J:$J),""))</f>
      </c>
      <c r="D40">
        <f>IF(A40="","",IFERROR(SUMIF(Registro_Notas!$A:$A,A40,Registro_Notas!$L:$L),""))</f>
      </c>
      <c r="E40">
        <f>IF(A40="","",COUNTIF(Registro_Notas!$A:$A,A40))</f>
      </c>
      <c r="F40">
        <f>IF(A40="","",COUNTIFS(Registro_Notas!$A:$A,A40,Registro_Notas!$H:$H,"&lt;&gt;Corregida",Registro_Notas!$D:$D,"&lt;&gt;"))</f>
      </c>
    </row>
    <row r="41">
      <c r="A41"/>
      <c r="B41"/>
      <c r="C41">
        <f>IF(A41="","",IFERROR(AVERAGEIF(Registro_Notas!$A:$A,A41,Registro_Notas!$J:$J),""))</f>
      </c>
      <c r="D41">
        <f>IF(A41="","",IFERROR(SUMIF(Registro_Notas!$A:$A,A41,Registro_Notas!$L:$L),""))</f>
      </c>
      <c r="E41">
        <f>IF(A41="","",COUNTIF(Registro_Notas!$A:$A,A41))</f>
      </c>
      <c r="F41">
        <f>IF(A41="","",COUNTIFS(Registro_Notas!$A:$A,A41,Registro_Notas!$H:$H,"&lt;&gt;Corregida",Registro_Notas!$D:$D,"&lt;&gt;"))</f>
      </c>
    </row>
    <row r="42">
      <c r="A42"/>
      <c r="B42"/>
      <c r="C42">
        <f>IF(A42="","",IFERROR(AVERAGEIF(Registro_Notas!$A:$A,A42,Registro_Notas!$J:$J),""))</f>
      </c>
      <c r="D42">
        <f>IF(A42="","",IFERROR(SUMIF(Registro_Notas!$A:$A,A42,Registro_Notas!$L:$L),""))</f>
      </c>
      <c r="E42">
        <f>IF(A42="","",COUNTIF(Registro_Notas!$A:$A,A42))</f>
      </c>
      <c r="F42">
        <f>IF(A42="","",COUNTIFS(Registro_Notas!$A:$A,A42,Registro_Notas!$H:$H,"&lt;&gt;Corregida",Registro_Notas!$D:$D,"&lt;&gt;"))</f>
      </c>
    </row>
    <row r="43">
      <c r="A43"/>
      <c r="B43"/>
      <c r="C43">
        <f>IF(A43="","",IFERROR(AVERAGEIF(Registro_Notas!$A:$A,A43,Registro_Notas!$J:$J),""))</f>
      </c>
      <c r="D43">
        <f>IF(A43="","",IFERROR(SUMIF(Registro_Notas!$A:$A,A43,Registro_Notas!$L:$L),""))</f>
      </c>
      <c r="E43">
        <f>IF(A43="","",COUNTIF(Registro_Notas!$A:$A,A43))</f>
      </c>
      <c r="F43">
        <f>IF(A43="","",COUNTIFS(Registro_Notas!$A:$A,A43,Registro_Notas!$H:$H,"&lt;&gt;Corregida",Registro_Notas!$D:$D,"&lt;&gt;"))</f>
      </c>
    </row>
    <row r="44">
      <c r="A44"/>
      <c r="B44"/>
      <c r="C44">
        <f>IF(A44="","",IFERROR(AVERAGEIF(Registro_Notas!$A:$A,A44,Registro_Notas!$J:$J),""))</f>
      </c>
      <c r="D44">
        <f>IF(A44="","",IFERROR(SUMIF(Registro_Notas!$A:$A,A44,Registro_Notas!$L:$L),""))</f>
      </c>
      <c r="E44">
        <f>IF(A44="","",COUNTIF(Registro_Notas!$A:$A,A44))</f>
      </c>
      <c r="F44">
        <f>IF(A44="","",COUNTIFS(Registro_Notas!$A:$A,A44,Registro_Notas!$H:$H,"&lt;&gt;Corregida",Registro_Notas!$D:$D,"&lt;&gt;"))</f>
      </c>
    </row>
    <row r="45">
      <c r="A45"/>
      <c r="B45"/>
      <c r="C45">
        <f>IF(A45="","",IFERROR(AVERAGEIF(Registro_Notas!$A:$A,A45,Registro_Notas!$J:$J),""))</f>
      </c>
      <c r="D45">
        <f>IF(A45="","",IFERROR(SUMIF(Registro_Notas!$A:$A,A45,Registro_Notas!$L:$L),""))</f>
      </c>
      <c r="E45">
        <f>IF(A45="","",COUNTIF(Registro_Notas!$A:$A,A45))</f>
      </c>
      <c r="F45">
        <f>IF(A45="","",COUNTIFS(Registro_Notas!$A:$A,A45,Registro_Notas!$H:$H,"&lt;&gt;Corregida",Registro_Notas!$D:$D,"&lt;&gt;"))</f>
      </c>
    </row>
    <row r="46">
      <c r="A46"/>
      <c r="B46"/>
      <c r="C46">
        <f>IF(A46="","",IFERROR(AVERAGEIF(Registro_Notas!$A:$A,A46,Registro_Notas!$J:$J),""))</f>
      </c>
      <c r="D46">
        <f>IF(A46="","",IFERROR(SUMIF(Registro_Notas!$A:$A,A46,Registro_Notas!$L:$L),""))</f>
      </c>
      <c r="E46">
        <f>IF(A46="","",COUNTIF(Registro_Notas!$A:$A,A46))</f>
      </c>
      <c r="F46">
        <f>IF(A46="","",COUNTIFS(Registro_Notas!$A:$A,A46,Registro_Notas!$H:$H,"&lt;&gt;Corregida",Registro_Notas!$D:$D,"&lt;&gt;"))</f>
      </c>
    </row>
    <row r="47">
      <c r="A47"/>
      <c r="B47"/>
      <c r="C47">
        <f>IF(A47="","",IFERROR(AVERAGEIF(Registro_Notas!$A:$A,A47,Registro_Notas!$J:$J),""))</f>
      </c>
      <c r="D47">
        <f>IF(A47="","",IFERROR(SUMIF(Registro_Notas!$A:$A,A47,Registro_Notas!$L:$L),""))</f>
      </c>
      <c r="E47">
        <f>IF(A47="","",COUNTIF(Registro_Notas!$A:$A,A47))</f>
      </c>
      <c r="F47">
        <f>IF(A47="","",COUNTIFS(Registro_Notas!$A:$A,A47,Registro_Notas!$H:$H,"&lt;&gt;Corregida",Registro_Notas!$D:$D,"&lt;&gt;"))</f>
      </c>
    </row>
    <row r="48">
      <c r="A48"/>
      <c r="B48"/>
      <c r="C48">
        <f>IF(A48="","",IFERROR(AVERAGEIF(Registro_Notas!$A:$A,A48,Registro_Notas!$J:$J),""))</f>
      </c>
      <c r="D48">
        <f>IF(A48="","",IFERROR(SUMIF(Registro_Notas!$A:$A,A48,Registro_Notas!$L:$L),""))</f>
      </c>
      <c r="E48">
        <f>IF(A48="","",COUNTIF(Registro_Notas!$A:$A,A48))</f>
      </c>
      <c r="F48">
        <f>IF(A48="","",COUNTIFS(Registro_Notas!$A:$A,A48,Registro_Notas!$H:$H,"&lt;&gt;Corregida",Registro_Notas!$D:$D,"&lt;&gt;"))</f>
      </c>
    </row>
    <row r="49">
      <c r="A49"/>
      <c r="B49"/>
      <c r="C49">
        <f>IF(A49="","",IFERROR(AVERAGEIF(Registro_Notas!$A:$A,A49,Registro_Notas!$J:$J),""))</f>
      </c>
      <c r="D49">
        <f>IF(A49="","",IFERROR(SUMIF(Registro_Notas!$A:$A,A49,Registro_Notas!$L:$L),""))</f>
      </c>
      <c r="E49">
        <f>IF(A49="","",COUNTIF(Registro_Notas!$A:$A,A49))</f>
      </c>
      <c r="F49">
        <f>IF(A49="","",COUNTIFS(Registro_Notas!$A:$A,A49,Registro_Notas!$H:$H,"&lt;&gt;Corregida",Registro_Notas!$D:$D,"&lt;&gt;"))</f>
      </c>
    </row>
    <row r="50">
      <c r="A50"/>
      <c r="B50"/>
      <c r="C50">
        <f>IF(A50="","",IFERROR(AVERAGEIF(Registro_Notas!$A:$A,A50,Registro_Notas!$J:$J),""))</f>
      </c>
      <c r="D50">
        <f>IF(A50="","",IFERROR(SUMIF(Registro_Notas!$A:$A,A50,Registro_Notas!$L:$L),""))</f>
      </c>
      <c r="E50">
        <f>IF(A50="","",COUNTIF(Registro_Notas!$A:$A,A50))</f>
      </c>
      <c r="F50">
        <f>IF(A50="","",COUNTIFS(Registro_Notas!$A:$A,A50,Registro_Notas!$H:$H,"&lt;&gt;Corregida",Registro_Notas!$D:$D,"&lt;&gt;"))</f>
      </c>
    </row>
    <row r="51">
      <c r="A51"/>
      <c r="B51"/>
      <c r="C51">
        <f>IF(A51="","",IFERROR(AVERAGEIF(Registro_Notas!$A:$A,A51,Registro_Notas!$J:$J),""))</f>
      </c>
      <c r="D51">
        <f>IF(A51="","",IFERROR(SUMIF(Registro_Notas!$A:$A,A51,Registro_Notas!$L:$L),""))</f>
      </c>
      <c r="E51">
        <f>IF(A51="","",COUNTIF(Registro_Notas!$A:$A,A51))</f>
      </c>
      <c r="F51">
        <f>IF(A51="","",COUNTIFS(Registro_Notas!$A:$A,A51,Registro_Notas!$H:$H,"&lt;&gt;Corregida",Registro_Notas!$D:$D,"&lt;&gt;"))</f>
      </c>
    </row>
    <row r="52">
      <c r="A52"/>
      <c r="B52"/>
      <c r="C52">
        <f>IF(A52="","",IFERROR(AVERAGEIF(Registro_Notas!$A:$A,A52,Registro_Notas!$J:$J),""))</f>
      </c>
      <c r="D52">
        <f>IF(A52="","",IFERROR(SUMIF(Registro_Notas!$A:$A,A52,Registro_Notas!$L:$L),""))</f>
      </c>
      <c r="E52">
        <f>IF(A52="","",COUNTIF(Registro_Notas!$A:$A,A52))</f>
      </c>
      <c r="F52">
        <f>IF(A52="","",COUNTIFS(Registro_Notas!$A:$A,A52,Registro_Notas!$H:$H,"&lt;&gt;Corregida",Registro_Notas!$D:$D,"&lt;&gt;"))</f>
      </c>
    </row>
    <row r="53">
      <c r="A53"/>
      <c r="B53"/>
      <c r="C53">
        <f>IF(A53="","",IFERROR(AVERAGEIF(Registro_Notas!$A:$A,A53,Registro_Notas!$J:$J),""))</f>
      </c>
      <c r="D53">
        <f>IF(A53="","",IFERROR(SUMIF(Registro_Notas!$A:$A,A53,Registro_Notas!$L:$L),""))</f>
      </c>
      <c r="E53">
        <f>IF(A53="","",COUNTIF(Registro_Notas!$A:$A,A53))</f>
      </c>
      <c r="F53">
        <f>IF(A53="","",COUNTIFS(Registro_Notas!$A:$A,A53,Registro_Notas!$H:$H,"&lt;&gt;Corregida",Registro_Notas!$D:$D,"&lt;&gt;"))</f>
      </c>
    </row>
    <row r="54">
      <c r="A54"/>
      <c r="B54"/>
      <c r="C54">
        <f>IF(A54="","",IFERROR(AVERAGEIF(Registro_Notas!$A:$A,A54,Registro_Notas!$J:$J),""))</f>
      </c>
      <c r="D54">
        <f>IF(A54="","",IFERROR(SUMIF(Registro_Notas!$A:$A,A54,Registro_Notas!$L:$L),""))</f>
      </c>
      <c r="E54">
        <f>IF(A54="","",COUNTIF(Registro_Notas!$A:$A,A54))</f>
      </c>
      <c r="F54">
        <f>IF(A54="","",COUNTIFS(Registro_Notas!$A:$A,A54,Registro_Notas!$H:$H,"&lt;&gt;Corregida",Registro_Notas!$D:$D,"&lt;&gt;"))</f>
      </c>
    </row>
    <row r="55">
      <c r="A55"/>
      <c r="B55"/>
      <c r="C55">
        <f>IF(A55="","",IFERROR(AVERAGEIF(Registro_Notas!$A:$A,A55,Registro_Notas!$J:$J),""))</f>
      </c>
      <c r="D55">
        <f>IF(A55="","",IFERROR(SUMIF(Registro_Notas!$A:$A,A55,Registro_Notas!$L:$L),""))</f>
      </c>
      <c r="E55">
        <f>IF(A55="","",COUNTIF(Registro_Notas!$A:$A,A55))</f>
      </c>
      <c r="F55">
        <f>IF(A55="","",COUNTIFS(Registro_Notas!$A:$A,A55,Registro_Notas!$H:$H,"&lt;&gt;Corregida",Registro_Notas!$D:$D,"&lt;&gt;"))</f>
      </c>
    </row>
    <row r="56">
      <c r="A56"/>
      <c r="B56"/>
      <c r="C56">
        <f>IF(A56="","",IFERROR(AVERAGEIF(Registro_Notas!$A:$A,A56,Registro_Notas!$J:$J),""))</f>
      </c>
      <c r="D56">
        <f>IF(A56="","",IFERROR(SUMIF(Registro_Notas!$A:$A,A56,Registro_Notas!$L:$L),""))</f>
      </c>
      <c r="E56">
        <f>IF(A56="","",COUNTIF(Registro_Notas!$A:$A,A56))</f>
      </c>
      <c r="F56">
        <f>IF(A56="","",COUNTIFS(Registro_Notas!$A:$A,A56,Registro_Notas!$H:$H,"&lt;&gt;Corregida",Registro_Notas!$D:$D,"&lt;&gt;"))</f>
      </c>
    </row>
    <row r="57">
      <c r="A57"/>
      <c r="B57"/>
      <c r="C57">
        <f>IF(A57="","",IFERROR(AVERAGEIF(Registro_Notas!$A:$A,A57,Registro_Notas!$J:$J),""))</f>
      </c>
      <c r="D57">
        <f>IF(A57="","",IFERROR(SUMIF(Registro_Notas!$A:$A,A57,Registro_Notas!$L:$L),""))</f>
      </c>
      <c r="E57">
        <f>IF(A57="","",COUNTIF(Registro_Notas!$A:$A,A57))</f>
      </c>
      <c r="F57">
        <f>IF(A57="","",COUNTIFS(Registro_Notas!$A:$A,A57,Registro_Notas!$H:$H,"&lt;&gt;Corregida",Registro_Notas!$D:$D,"&lt;&gt;"))</f>
      </c>
    </row>
    <row r="58">
      <c r="A58"/>
      <c r="B58"/>
      <c r="C58">
        <f>IF(A58="","",IFERROR(AVERAGEIF(Registro_Notas!$A:$A,A58,Registro_Notas!$J:$J),""))</f>
      </c>
      <c r="D58">
        <f>IF(A58="","",IFERROR(SUMIF(Registro_Notas!$A:$A,A58,Registro_Notas!$L:$L),""))</f>
      </c>
      <c r="E58">
        <f>IF(A58="","",COUNTIF(Registro_Notas!$A:$A,A58))</f>
      </c>
      <c r="F58">
        <f>IF(A58="","",COUNTIFS(Registro_Notas!$A:$A,A58,Registro_Notas!$H:$H,"&lt;&gt;Corregida",Registro_Notas!$D:$D,"&lt;&gt;"))</f>
      </c>
    </row>
    <row r="59">
      <c r="A59"/>
      <c r="B59"/>
      <c r="C59">
        <f>IF(A59="","",IFERROR(AVERAGEIF(Registro_Notas!$A:$A,A59,Registro_Notas!$J:$J),""))</f>
      </c>
      <c r="D59">
        <f>IF(A59="","",IFERROR(SUMIF(Registro_Notas!$A:$A,A59,Registro_Notas!$L:$L),""))</f>
      </c>
      <c r="E59">
        <f>IF(A59="","",COUNTIF(Registro_Notas!$A:$A,A59))</f>
      </c>
      <c r="F59">
        <f>IF(A59="","",COUNTIFS(Registro_Notas!$A:$A,A59,Registro_Notas!$H:$H,"&lt;&gt;Corregida",Registro_Notas!$D:$D,"&lt;&gt;"))</f>
      </c>
    </row>
    <row r="60">
      <c r="A60"/>
      <c r="B60"/>
      <c r="C60">
        <f>IF(A60="","",IFERROR(AVERAGEIF(Registro_Notas!$A:$A,A60,Registro_Notas!$J:$J),""))</f>
      </c>
      <c r="D60">
        <f>IF(A60="","",IFERROR(SUMIF(Registro_Notas!$A:$A,A60,Registro_Notas!$L:$L),""))</f>
      </c>
      <c r="E60">
        <f>IF(A60="","",COUNTIF(Registro_Notas!$A:$A,A60))</f>
      </c>
      <c r="F60">
        <f>IF(A60="","",COUNTIFS(Registro_Notas!$A:$A,A60,Registro_Notas!$H:$H,"&lt;&gt;Corregida",Registro_Notas!$D:$D,"&lt;&gt;"))</f>
      </c>
    </row>
    <row r="61">
      <c r="A61"/>
      <c r="B61"/>
      <c r="C61">
        <f>IF(A61="","",IFERROR(AVERAGEIF(Registro_Notas!$A:$A,A61,Registro_Notas!$J:$J),""))</f>
      </c>
      <c r="D61">
        <f>IF(A61="","",IFERROR(SUMIF(Registro_Notas!$A:$A,A61,Registro_Notas!$L:$L),""))</f>
      </c>
      <c r="E61">
        <f>IF(A61="","",COUNTIF(Registro_Notas!$A:$A,A61))</f>
      </c>
      <c r="F61">
        <f>IF(A61="","",COUNTIFS(Registro_Notas!$A:$A,A61,Registro_Notas!$H:$H,"&lt;&gt;Corregida",Registro_Notas!$D:$D,"&lt;&gt;"))</f>
      </c>
    </row>
    <row r="62">
      <c r="A62"/>
      <c r="B62"/>
      <c r="C62">
        <f>IF(A62="","",IFERROR(AVERAGEIF(Registro_Notas!$A:$A,A62,Registro_Notas!$J:$J),""))</f>
      </c>
      <c r="D62">
        <f>IF(A62="","",IFERROR(SUMIF(Registro_Notas!$A:$A,A62,Registro_Notas!$L:$L),""))</f>
      </c>
      <c r="E62">
        <f>IF(A62="","",COUNTIF(Registro_Notas!$A:$A,A62))</f>
      </c>
      <c r="F62">
        <f>IF(A62="","",COUNTIFS(Registro_Notas!$A:$A,A62,Registro_Notas!$H:$H,"&lt;&gt;Corregida",Registro_Notas!$D:$D,"&lt;&gt;"))</f>
      </c>
    </row>
    <row r="63">
      <c r="A63"/>
      <c r="B63"/>
      <c r="C63">
        <f>IF(A63="","",IFERROR(AVERAGEIF(Registro_Notas!$A:$A,A63,Registro_Notas!$J:$J),""))</f>
      </c>
      <c r="D63">
        <f>IF(A63="","",IFERROR(SUMIF(Registro_Notas!$A:$A,A63,Registro_Notas!$L:$L),""))</f>
      </c>
      <c r="E63">
        <f>IF(A63="","",COUNTIF(Registro_Notas!$A:$A,A63))</f>
      </c>
      <c r="F63">
        <f>IF(A63="","",COUNTIFS(Registro_Notas!$A:$A,A63,Registro_Notas!$H:$H,"&lt;&gt;Corregida",Registro_Notas!$D:$D,"&lt;&gt;"))</f>
      </c>
    </row>
    <row r="64">
      <c r="A64"/>
      <c r="B64"/>
      <c r="C64">
        <f>IF(A64="","",IFERROR(AVERAGEIF(Registro_Notas!$A:$A,A64,Registro_Notas!$J:$J),""))</f>
      </c>
      <c r="D64">
        <f>IF(A64="","",IFERROR(SUMIF(Registro_Notas!$A:$A,A64,Registro_Notas!$L:$L),""))</f>
      </c>
      <c r="E64">
        <f>IF(A64="","",COUNTIF(Registro_Notas!$A:$A,A64))</f>
      </c>
      <c r="F64">
        <f>IF(A64="","",COUNTIFS(Registro_Notas!$A:$A,A64,Registro_Notas!$H:$H,"&lt;&gt;Corregida",Registro_Notas!$D:$D,"&lt;&gt;"))</f>
      </c>
    </row>
    <row r="65">
      <c r="A65"/>
      <c r="B65"/>
      <c r="C65">
        <f>IF(A65="","",IFERROR(AVERAGEIF(Registro_Notas!$A:$A,A65,Registro_Notas!$J:$J),""))</f>
      </c>
      <c r="D65">
        <f>IF(A65="","",IFERROR(SUMIF(Registro_Notas!$A:$A,A65,Registro_Notas!$L:$L),""))</f>
      </c>
      <c r="E65">
        <f>IF(A65="","",COUNTIF(Registro_Notas!$A:$A,A65))</f>
      </c>
      <c r="F65">
        <f>IF(A65="","",COUNTIFS(Registro_Notas!$A:$A,A65,Registro_Notas!$H:$H,"&lt;&gt;Corregida",Registro_Notas!$D:$D,"&lt;&gt;"))</f>
      </c>
    </row>
    <row r="66">
      <c r="A66"/>
      <c r="B66"/>
      <c r="C66">
        <f>IF(A66="","",IFERROR(AVERAGEIF(Registro_Notas!$A:$A,A66,Registro_Notas!$J:$J),""))</f>
      </c>
      <c r="D66">
        <f>IF(A66="","",IFERROR(SUMIF(Registro_Notas!$A:$A,A66,Registro_Notas!$L:$L),""))</f>
      </c>
      <c r="E66">
        <f>IF(A66="","",COUNTIF(Registro_Notas!$A:$A,A66))</f>
      </c>
      <c r="F66">
        <f>IF(A66="","",COUNTIFS(Registro_Notas!$A:$A,A66,Registro_Notas!$H:$H,"&lt;&gt;Corregida",Registro_Notas!$D:$D,"&lt;&gt;"))</f>
      </c>
    </row>
    <row r="67">
      <c r="A67"/>
      <c r="B67"/>
      <c r="C67">
        <f>IF(A67="","",IFERROR(AVERAGEIF(Registro_Notas!$A:$A,A67,Registro_Notas!$J:$J),""))</f>
      </c>
      <c r="D67">
        <f>IF(A67="","",IFERROR(SUMIF(Registro_Notas!$A:$A,A67,Registro_Notas!$L:$L),""))</f>
      </c>
      <c r="E67">
        <f>IF(A67="","",COUNTIF(Registro_Notas!$A:$A,A67))</f>
      </c>
      <c r="F67">
        <f>IF(A67="","",COUNTIFS(Registro_Notas!$A:$A,A67,Registro_Notas!$H:$H,"&lt;&gt;Corregida",Registro_Notas!$D:$D,"&lt;&gt;"))</f>
      </c>
    </row>
    <row r="68">
      <c r="A68"/>
      <c r="B68"/>
      <c r="C68">
        <f>IF(A68="","",IFERROR(AVERAGEIF(Registro_Notas!$A:$A,A68,Registro_Notas!$J:$J),""))</f>
      </c>
      <c r="D68">
        <f>IF(A68="","",IFERROR(SUMIF(Registro_Notas!$A:$A,A68,Registro_Notas!$L:$L),""))</f>
      </c>
      <c r="E68">
        <f>IF(A68="","",COUNTIF(Registro_Notas!$A:$A,A68))</f>
      </c>
      <c r="F68">
        <f>IF(A68="","",COUNTIFS(Registro_Notas!$A:$A,A68,Registro_Notas!$H:$H,"&lt;&gt;Corregida",Registro_Notas!$D:$D,"&lt;&gt;"))</f>
      </c>
    </row>
    <row r="69">
      <c r="A69"/>
      <c r="B69"/>
      <c r="C69">
        <f>IF(A69="","",IFERROR(AVERAGEIF(Registro_Notas!$A:$A,A69,Registro_Notas!$J:$J),""))</f>
      </c>
      <c r="D69">
        <f>IF(A69="","",IFERROR(SUMIF(Registro_Notas!$A:$A,A69,Registro_Notas!$L:$L),""))</f>
      </c>
      <c r="E69">
        <f>IF(A69="","",COUNTIF(Registro_Notas!$A:$A,A69))</f>
      </c>
      <c r="F69">
        <f>IF(A69="","",COUNTIFS(Registro_Notas!$A:$A,A69,Registro_Notas!$H:$H,"&lt;&gt;Corregida",Registro_Notas!$D:$D,"&lt;&gt;"))</f>
      </c>
    </row>
    <row r="70">
      <c r="A70"/>
      <c r="B70"/>
      <c r="C70">
        <f>IF(A70="","",IFERROR(AVERAGEIF(Registro_Notas!$A:$A,A70,Registro_Notas!$J:$J),""))</f>
      </c>
      <c r="D70">
        <f>IF(A70="","",IFERROR(SUMIF(Registro_Notas!$A:$A,A70,Registro_Notas!$L:$L),""))</f>
      </c>
      <c r="E70">
        <f>IF(A70="","",COUNTIF(Registro_Notas!$A:$A,A70))</f>
      </c>
      <c r="F70">
        <f>IF(A70="","",COUNTIFS(Registro_Notas!$A:$A,A70,Registro_Notas!$H:$H,"&lt;&gt;Corregida",Registro_Notas!$D:$D,"&lt;&gt;"))</f>
      </c>
    </row>
    <row r="71">
      <c r="A71"/>
      <c r="B71"/>
      <c r="C71">
        <f>IF(A71="","",IFERROR(AVERAGEIF(Registro_Notas!$A:$A,A71,Registro_Notas!$J:$J),""))</f>
      </c>
      <c r="D71">
        <f>IF(A71="","",IFERROR(SUMIF(Registro_Notas!$A:$A,A71,Registro_Notas!$L:$L),""))</f>
      </c>
      <c r="E71">
        <f>IF(A71="","",COUNTIF(Registro_Notas!$A:$A,A71))</f>
      </c>
      <c r="F71">
        <f>IF(A71="","",COUNTIFS(Registro_Notas!$A:$A,A71,Registro_Notas!$H:$H,"&lt;&gt;Corregida",Registro_Notas!$D:$D,"&lt;&gt;"))</f>
      </c>
    </row>
    <row r="72">
      <c r="A72"/>
      <c r="B72"/>
      <c r="C72">
        <f>IF(A72="","",IFERROR(AVERAGEIF(Registro_Notas!$A:$A,A72,Registro_Notas!$J:$J),""))</f>
      </c>
      <c r="D72">
        <f>IF(A72="","",IFERROR(SUMIF(Registro_Notas!$A:$A,A72,Registro_Notas!$L:$L),""))</f>
      </c>
      <c r="E72">
        <f>IF(A72="","",COUNTIF(Registro_Notas!$A:$A,A72))</f>
      </c>
      <c r="F72">
        <f>IF(A72="","",COUNTIFS(Registro_Notas!$A:$A,A72,Registro_Notas!$H:$H,"&lt;&gt;Corregida",Registro_Notas!$D:$D,"&lt;&gt;"))</f>
      </c>
    </row>
    <row r="73">
      <c r="A73"/>
      <c r="B73"/>
      <c r="C73">
        <f>IF(A73="","",IFERROR(AVERAGEIF(Registro_Notas!$A:$A,A73,Registro_Notas!$J:$J),""))</f>
      </c>
      <c r="D73">
        <f>IF(A73="","",IFERROR(SUMIF(Registro_Notas!$A:$A,A73,Registro_Notas!$L:$L),""))</f>
      </c>
      <c r="E73">
        <f>IF(A73="","",COUNTIF(Registro_Notas!$A:$A,A73))</f>
      </c>
      <c r="F73">
        <f>IF(A73="","",COUNTIFS(Registro_Notas!$A:$A,A73,Registro_Notas!$H:$H,"&lt;&gt;Corregida",Registro_Notas!$D:$D,"&lt;&gt;"))</f>
      </c>
    </row>
    <row r="74">
      <c r="A74"/>
      <c r="B74"/>
      <c r="C74">
        <f>IF(A74="","",IFERROR(AVERAGEIF(Registro_Notas!$A:$A,A74,Registro_Notas!$J:$J),""))</f>
      </c>
      <c r="D74">
        <f>IF(A74="","",IFERROR(SUMIF(Registro_Notas!$A:$A,A74,Registro_Notas!$L:$L),""))</f>
      </c>
      <c r="E74">
        <f>IF(A74="","",COUNTIF(Registro_Notas!$A:$A,A74))</f>
      </c>
      <c r="F74">
        <f>IF(A74="","",COUNTIFS(Registro_Notas!$A:$A,A74,Registro_Notas!$H:$H,"&lt;&gt;Corregida",Registro_Notas!$D:$D,"&lt;&gt;"))</f>
      </c>
    </row>
    <row r="75">
      <c r="A75"/>
      <c r="B75"/>
      <c r="C75">
        <f>IF(A75="","",IFERROR(AVERAGEIF(Registro_Notas!$A:$A,A75,Registro_Notas!$J:$J),""))</f>
      </c>
      <c r="D75">
        <f>IF(A75="","",IFERROR(SUMIF(Registro_Notas!$A:$A,A75,Registro_Notas!$L:$L),""))</f>
      </c>
      <c r="E75">
        <f>IF(A75="","",COUNTIF(Registro_Notas!$A:$A,A75))</f>
      </c>
      <c r="F75">
        <f>IF(A75="","",COUNTIFS(Registro_Notas!$A:$A,A75,Registro_Notas!$H:$H,"&lt;&gt;Corregida",Registro_Notas!$D:$D,"&lt;&gt;"))</f>
      </c>
    </row>
    <row r="76">
      <c r="A76"/>
      <c r="B76"/>
      <c r="C76">
        <f>IF(A76="","",IFERROR(AVERAGEIF(Registro_Notas!$A:$A,A76,Registro_Notas!$J:$J),""))</f>
      </c>
      <c r="D76">
        <f>IF(A76="","",IFERROR(SUMIF(Registro_Notas!$A:$A,A76,Registro_Notas!$L:$L),""))</f>
      </c>
      <c r="E76">
        <f>IF(A76="","",COUNTIF(Registro_Notas!$A:$A,A76))</f>
      </c>
      <c r="F76">
        <f>IF(A76="","",COUNTIFS(Registro_Notas!$A:$A,A76,Registro_Notas!$H:$H,"&lt;&gt;Corregida",Registro_Notas!$D:$D,"&lt;&gt;"))</f>
      </c>
    </row>
    <row r="77">
      <c r="A77"/>
      <c r="B77"/>
      <c r="C77">
        <f>IF(A77="","",IFERROR(AVERAGEIF(Registro_Notas!$A:$A,A77,Registro_Notas!$J:$J),""))</f>
      </c>
      <c r="D77">
        <f>IF(A77="","",IFERROR(SUMIF(Registro_Notas!$A:$A,A77,Registro_Notas!$L:$L),""))</f>
      </c>
      <c r="E77">
        <f>IF(A77="","",COUNTIF(Registro_Notas!$A:$A,A77))</f>
      </c>
      <c r="F77">
        <f>IF(A77="","",COUNTIFS(Registro_Notas!$A:$A,A77,Registro_Notas!$H:$H,"&lt;&gt;Corregida",Registro_Notas!$D:$D,"&lt;&gt;"))</f>
      </c>
    </row>
    <row r="78">
      <c r="A78"/>
      <c r="B78"/>
      <c r="C78">
        <f>IF(A78="","",IFERROR(AVERAGEIF(Registro_Notas!$A:$A,A78,Registro_Notas!$J:$J),""))</f>
      </c>
      <c r="D78">
        <f>IF(A78="","",IFERROR(SUMIF(Registro_Notas!$A:$A,A78,Registro_Notas!$L:$L),""))</f>
      </c>
      <c r="E78">
        <f>IF(A78="","",COUNTIF(Registro_Notas!$A:$A,A78))</f>
      </c>
      <c r="F78">
        <f>IF(A78="","",COUNTIFS(Registro_Notas!$A:$A,A78,Registro_Notas!$H:$H,"&lt;&gt;Corregida",Registro_Notas!$D:$D,"&lt;&gt;"))</f>
      </c>
    </row>
    <row r="79">
      <c r="A79"/>
      <c r="B79"/>
      <c r="C79">
        <f>IF(A79="","",IFERROR(AVERAGEIF(Registro_Notas!$A:$A,A79,Registro_Notas!$J:$J),""))</f>
      </c>
      <c r="D79">
        <f>IF(A79="","",IFERROR(SUMIF(Registro_Notas!$A:$A,A79,Registro_Notas!$L:$L),""))</f>
      </c>
      <c r="E79">
        <f>IF(A79="","",COUNTIF(Registro_Notas!$A:$A,A79))</f>
      </c>
      <c r="F79">
        <f>IF(A79="","",COUNTIFS(Registro_Notas!$A:$A,A79,Registro_Notas!$H:$H,"&lt;&gt;Corregida",Registro_Notas!$D:$D,"&lt;&gt;"))</f>
      </c>
    </row>
    <row r="80">
      <c r="A80"/>
      <c r="B80"/>
      <c r="C80">
        <f>IF(A80="","",IFERROR(AVERAGEIF(Registro_Notas!$A:$A,A80,Registro_Notas!$J:$J),""))</f>
      </c>
      <c r="D80">
        <f>IF(A80="","",IFERROR(SUMIF(Registro_Notas!$A:$A,A80,Registro_Notas!$L:$L),""))</f>
      </c>
      <c r="E80">
        <f>IF(A80="","",COUNTIF(Registro_Notas!$A:$A,A80))</f>
      </c>
      <c r="F80">
        <f>IF(A80="","",COUNTIFS(Registro_Notas!$A:$A,A80,Registro_Notas!$H:$H,"&lt;&gt;Corregida",Registro_Notas!$D:$D,"&lt;&gt;"))</f>
      </c>
    </row>
    <row r="81">
      <c r="A81"/>
      <c r="B81"/>
      <c r="C81">
        <f>IF(A81="","",IFERROR(AVERAGEIF(Registro_Notas!$A:$A,A81,Registro_Notas!$J:$J),""))</f>
      </c>
      <c r="D81">
        <f>IF(A81="","",IFERROR(SUMIF(Registro_Notas!$A:$A,A81,Registro_Notas!$L:$L),""))</f>
      </c>
      <c r="E81">
        <f>IF(A81="","",COUNTIF(Registro_Notas!$A:$A,A81))</f>
      </c>
      <c r="F81">
        <f>IF(A81="","",COUNTIFS(Registro_Notas!$A:$A,A81,Registro_Notas!$H:$H,"&lt;&gt;Corregida",Registro_Notas!$D:$D,"&lt;&gt;"))</f>
      </c>
    </row>
    <row r="82">
      <c r="A82"/>
      <c r="B82"/>
      <c r="C82">
        <f>IF(A82="","",IFERROR(AVERAGEIF(Registro_Notas!$A:$A,A82,Registro_Notas!$J:$J),""))</f>
      </c>
      <c r="D82">
        <f>IF(A82="","",IFERROR(SUMIF(Registro_Notas!$A:$A,A82,Registro_Notas!$L:$L),""))</f>
      </c>
      <c r="E82">
        <f>IF(A82="","",COUNTIF(Registro_Notas!$A:$A,A82))</f>
      </c>
      <c r="F82">
        <f>IF(A82="","",COUNTIFS(Registro_Notas!$A:$A,A82,Registro_Notas!$H:$H,"&lt;&gt;Corregida",Registro_Notas!$D:$D,"&lt;&gt;"))</f>
      </c>
    </row>
    <row r="83">
      <c r="A83"/>
      <c r="B83"/>
      <c r="C83">
        <f>IF(A83="","",IFERROR(AVERAGEIF(Registro_Notas!$A:$A,A83,Registro_Notas!$J:$J),""))</f>
      </c>
      <c r="D83">
        <f>IF(A83="","",IFERROR(SUMIF(Registro_Notas!$A:$A,A83,Registro_Notas!$L:$L),""))</f>
      </c>
      <c r="E83">
        <f>IF(A83="","",COUNTIF(Registro_Notas!$A:$A,A83))</f>
      </c>
      <c r="F83">
        <f>IF(A83="","",COUNTIFS(Registro_Notas!$A:$A,A83,Registro_Notas!$H:$H,"&lt;&gt;Corregida",Registro_Notas!$D:$D,"&lt;&gt;"))</f>
      </c>
    </row>
    <row r="84">
      <c r="A84"/>
      <c r="B84"/>
      <c r="C84">
        <f>IF(A84="","",IFERROR(AVERAGEIF(Registro_Notas!$A:$A,A84,Registro_Notas!$J:$J),""))</f>
      </c>
      <c r="D84">
        <f>IF(A84="","",IFERROR(SUMIF(Registro_Notas!$A:$A,A84,Registro_Notas!$L:$L),""))</f>
      </c>
      <c r="E84">
        <f>IF(A84="","",COUNTIF(Registro_Notas!$A:$A,A84))</f>
      </c>
      <c r="F84">
        <f>IF(A84="","",COUNTIFS(Registro_Notas!$A:$A,A84,Registro_Notas!$H:$H,"&lt;&gt;Corregida",Registro_Notas!$D:$D,"&lt;&gt;"))</f>
      </c>
    </row>
    <row r="85">
      <c r="A85"/>
      <c r="B85"/>
      <c r="C85">
        <f>IF(A85="","",IFERROR(AVERAGEIF(Registro_Notas!$A:$A,A85,Registro_Notas!$J:$J),""))</f>
      </c>
      <c r="D85">
        <f>IF(A85="","",IFERROR(SUMIF(Registro_Notas!$A:$A,A85,Registro_Notas!$L:$L),""))</f>
      </c>
      <c r="E85">
        <f>IF(A85="","",COUNTIF(Registro_Notas!$A:$A,A85))</f>
      </c>
      <c r="F85">
        <f>IF(A85="","",COUNTIFS(Registro_Notas!$A:$A,A85,Registro_Notas!$H:$H,"&lt;&gt;Corregida",Registro_Notas!$D:$D,"&lt;&gt;"))</f>
      </c>
    </row>
    <row r="86">
      <c r="A86"/>
      <c r="B86"/>
      <c r="C86">
        <f>IF(A86="","",IFERROR(AVERAGEIF(Registro_Notas!$A:$A,A86,Registro_Notas!$J:$J),""))</f>
      </c>
      <c r="D86">
        <f>IF(A86="","",IFERROR(SUMIF(Registro_Notas!$A:$A,A86,Registro_Notas!$L:$L),""))</f>
      </c>
      <c r="E86">
        <f>IF(A86="","",COUNTIF(Registro_Notas!$A:$A,A86))</f>
      </c>
      <c r="F86">
        <f>IF(A86="","",COUNTIFS(Registro_Notas!$A:$A,A86,Registro_Notas!$H:$H,"&lt;&gt;Corregida",Registro_Notas!$D:$D,"&lt;&gt;"))</f>
      </c>
    </row>
    <row r="87">
      <c r="A87"/>
      <c r="B87"/>
      <c r="C87">
        <f>IF(A87="","",IFERROR(AVERAGEIF(Registro_Notas!$A:$A,A87,Registro_Notas!$J:$J),""))</f>
      </c>
      <c r="D87">
        <f>IF(A87="","",IFERROR(SUMIF(Registro_Notas!$A:$A,A87,Registro_Notas!$L:$L),""))</f>
      </c>
      <c r="E87">
        <f>IF(A87="","",COUNTIF(Registro_Notas!$A:$A,A87))</f>
      </c>
      <c r="F87">
        <f>IF(A87="","",COUNTIFS(Registro_Notas!$A:$A,A87,Registro_Notas!$H:$H,"&lt;&gt;Corregida",Registro_Notas!$D:$D,"&lt;&gt;"))</f>
      </c>
    </row>
    <row r="88">
      <c r="A88"/>
      <c r="B88"/>
      <c r="C88">
        <f>IF(A88="","",IFERROR(AVERAGEIF(Registro_Notas!$A:$A,A88,Registro_Notas!$J:$J),""))</f>
      </c>
      <c r="D88">
        <f>IF(A88="","",IFERROR(SUMIF(Registro_Notas!$A:$A,A88,Registro_Notas!$L:$L),""))</f>
      </c>
      <c r="E88">
        <f>IF(A88="","",COUNTIF(Registro_Notas!$A:$A,A88))</f>
      </c>
      <c r="F88">
        <f>IF(A88="","",COUNTIFS(Registro_Notas!$A:$A,A88,Registro_Notas!$H:$H,"&lt;&gt;Corregida",Registro_Notas!$D:$D,"&lt;&gt;"))</f>
      </c>
    </row>
    <row r="89">
      <c r="A89"/>
      <c r="B89"/>
      <c r="C89">
        <f>IF(A89="","",IFERROR(AVERAGEIF(Registro_Notas!$A:$A,A89,Registro_Notas!$J:$J),""))</f>
      </c>
      <c r="D89">
        <f>IF(A89="","",IFERROR(SUMIF(Registro_Notas!$A:$A,A89,Registro_Notas!$L:$L),""))</f>
      </c>
      <c r="E89">
        <f>IF(A89="","",COUNTIF(Registro_Notas!$A:$A,A89))</f>
      </c>
      <c r="F89">
        <f>IF(A89="","",COUNTIFS(Registro_Notas!$A:$A,A89,Registro_Notas!$H:$H,"&lt;&gt;Corregida",Registro_Notas!$D:$D,"&lt;&gt;"))</f>
      </c>
    </row>
    <row r="90">
      <c r="A90"/>
      <c r="B90"/>
      <c r="C90">
        <f>IF(A90="","",IFERROR(AVERAGEIF(Registro_Notas!$A:$A,A90,Registro_Notas!$J:$J),""))</f>
      </c>
      <c r="D90">
        <f>IF(A90="","",IFERROR(SUMIF(Registro_Notas!$A:$A,A90,Registro_Notas!$L:$L),""))</f>
      </c>
      <c r="E90">
        <f>IF(A90="","",COUNTIF(Registro_Notas!$A:$A,A90))</f>
      </c>
      <c r="F90">
        <f>IF(A90="","",COUNTIFS(Registro_Notas!$A:$A,A90,Registro_Notas!$H:$H,"&lt;&gt;Corregida",Registro_Notas!$D:$D,"&lt;&gt;"))</f>
      </c>
    </row>
    <row r="91">
      <c r="A91"/>
      <c r="B91"/>
      <c r="C91">
        <f>IF(A91="","",IFERROR(AVERAGEIF(Registro_Notas!$A:$A,A91,Registro_Notas!$J:$J),""))</f>
      </c>
      <c r="D91">
        <f>IF(A91="","",IFERROR(SUMIF(Registro_Notas!$A:$A,A91,Registro_Notas!$L:$L),""))</f>
      </c>
      <c r="E91">
        <f>IF(A91="","",COUNTIF(Registro_Notas!$A:$A,A91))</f>
      </c>
      <c r="F91">
        <f>IF(A91="","",COUNTIFS(Registro_Notas!$A:$A,A91,Registro_Notas!$H:$H,"&lt;&gt;Corregida",Registro_Notas!$D:$D,"&lt;&gt;"))</f>
      </c>
    </row>
    <row r="92">
      <c r="A92"/>
      <c r="B92"/>
      <c r="C92">
        <f>IF(A92="","",IFERROR(AVERAGEIF(Registro_Notas!$A:$A,A92,Registro_Notas!$J:$J),""))</f>
      </c>
      <c r="D92">
        <f>IF(A92="","",IFERROR(SUMIF(Registro_Notas!$A:$A,A92,Registro_Notas!$L:$L),""))</f>
      </c>
      <c r="E92">
        <f>IF(A92="","",COUNTIF(Registro_Notas!$A:$A,A92))</f>
      </c>
      <c r="F92">
        <f>IF(A92="","",COUNTIFS(Registro_Notas!$A:$A,A92,Registro_Notas!$H:$H,"&lt;&gt;Corregida",Registro_Notas!$D:$D,"&lt;&gt;"))</f>
      </c>
    </row>
    <row r="93">
      <c r="A93"/>
      <c r="B93"/>
      <c r="C93">
        <f>IF(A93="","",IFERROR(AVERAGEIF(Registro_Notas!$A:$A,A93,Registro_Notas!$J:$J),""))</f>
      </c>
      <c r="D93">
        <f>IF(A93="","",IFERROR(SUMIF(Registro_Notas!$A:$A,A93,Registro_Notas!$L:$L),""))</f>
      </c>
      <c r="E93">
        <f>IF(A93="","",COUNTIF(Registro_Notas!$A:$A,A93))</f>
      </c>
      <c r="F93">
        <f>IF(A93="","",COUNTIFS(Registro_Notas!$A:$A,A93,Registro_Notas!$H:$H,"&lt;&gt;Corregida",Registro_Notas!$D:$D,"&lt;&gt;"))</f>
      </c>
    </row>
    <row r="94">
      <c r="A94"/>
      <c r="B94"/>
      <c r="C94">
        <f>IF(A94="","",IFERROR(AVERAGEIF(Registro_Notas!$A:$A,A94,Registro_Notas!$J:$J),""))</f>
      </c>
      <c r="D94">
        <f>IF(A94="","",IFERROR(SUMIF(Registro_Notas!$A:$A,A94,Registro_Notas!$L:$L),""))</f>
      </c>
      <c r="E94">
        <f>IF(A94="","",COUNTIF(Registro_Notas!$A:$A,A94))</f>
      </c>
      <c r="F94">
        <f>IF(A94="","",COUNTIFS(Registro_Notas!$A:$A,A94,Registro_Notas!$H:$H,"&lt;&gt;Corregida",Registro_Notas!$D:$D,"&lt;&gt;"))</f>
      </c>
    </row>
    <row r="95">
      <c r="A95"/>
      <c r="B95"/>
      <c r="C95">
        <f>IF(A95="","",IFERROR(AVERAGEIF(Registro_Notas!$A:$A,A95,Registro_Notas!$J:$J),""))</f>
      </c>
      <c r="D95">
        <f>IF(A95="","",IFERROR(SUMIF(Registro_Notas!$A:$A,A95,Registro_Notas!$L:$L),""))</f>
      </c>
      <c r="E95">
        <f>IF(A95="","",COUNTIF(Registro_Notas!$A:$A,A95))</f>
      </c>
      <c r="F95">
        <f>IF(A95="","",COUNTIFS(Registro_Notas!$A:$A,A95,Registro_Notas!$H:$H,"&lt;&gt;Corregida",Registro_Notas!$D:$D,"&lt;&gt;"))</f>
      </c>
    </row>
    <row r="96">
      <c r="A96"/>
      <c r="B96"/>
      <c r="C96">
        <f>IF(A96="","",IFERROR(AVERAGEIF(Registro_Notas!$A:$A,A96,Registro_Notas!$J:$J),""))</f>
      </c>
      <c r="D96">
        <f>IF(A96="","",IFERROR(SUMIF(Registro_Notas!$A:$A,A96,Registro_Notas!$L:$L),""))</f>
      </c>
      <c r="E96">
        <f>IF(A96="","",COUNTIF(Registro_Notas!$A:$A,A96))</f>
      </c>
      <c r="F96">
        <f>IF(A96="","",COUNTIFS(Registro_Notas!$A:$A,A96,Registro_Notas!$H:$H,"&lt;&gt;Corregida",Registro_Notas!$D:$D,"&lt;&gt;"))</f>
      </c>
    </row>
    <row r="97">
      <c r="A97"/>
      <c r="B97"/>
      <c r="C97">
        <f>IF(A97="","",IFERROR(AVERAGEIF(Registro_Notas!$A:$A,A97,Registro_Notas!$J:$J),""))</f>
      </c>
      <c r="D97">
        <f>IF(A97="","",IFERROR(SUMIF(Registro_Notas!$A:$A,A97,Registro_Notas!$L:$L),""))</f>
      </c>
      <c r="E97">
        <f>IF(A97="","",COUNTIF(Registro_Notas!$A:$A,A97))</f>
      </c>
      <c r="F97">
        <f>IF(A97="","",COUNTIFS(Registro_Notas!$A:$A,A97,Registro_Notas!$H:$H,"&lt;&gt;Corregida",Registro_Notas!$D:$D,"&lt;&gt;"))</f>
      </c>
    </row>
    <row r="98">
      <c r="A98"/>
      <c r="B98"/>
      <c r="C98">
        <f>IF(A98="","",IFERROR(AVERAGEIF(Registro_Notas!$A:$A,A98,Registro_Notas!$J:$J),""))</f>
      </c>
      <c r="D98">
        <f>IF(A98="","",IFERROR(SUMIF(Registro_Notas!$A:$A,A98,Registro_Notas!$L:$L),""))</f>
      </c>
      <c r="E98">
        <f>IF(A98="","",COUNTIF(Registro_Notas!$A:$A,A98))</f>
      </c>
      <c r="F98">
        <f>IF(A98="","",COUNTIFS(Registro_Notas!$A:$A,A98,Registro_Notas!$H:$H,"&lt;&gt;Corregida",Registro_Notas!$D:$D,"&lt;&gt;"))</f>
      </c>
    </row>
    <row r="99">
      <c r="A99"/>
      <c r="B99"/>
      <c r="C99">
        <f>IF(A99="","",IFERROR(AVERAGEIF(Registro_Notas!$A:$A,A99,Registro_Notas!$J:$J),""))</f>
      </c>
      <c r="D99">
        <f>IF(A99="","",IFERROR(SUMIF(Registro_Notas!$A:$A,A99,Registro_Notas!$L:$L),""))</f>
      </c>
      <c r="E99">
        <f>IF(A99="","",COUNTIF(Registro_Notas!$A:$A,A99))</f>
      </c>
      <c r="F99">
        <f>IF(A99="","",COUNTIFS(Registro_Notas!$A:$A,A99,Registro_Notas!$H:$H,"&lt;&gt;Corregida",Registro_Notas!$D:$D,"&lt;&gt;"))</f>
      </c>
    </row>
    <row r="100">
      <c r="A100"/>
      <c r="B100"/>
      <c r="C100">
        <f>IF(A100="","",IFERROR(AVERAGEIF(Registro_Notas!$A:$A,A100,Registro_Notas!$J:$J),""))</f>
      </c>
      <c r="D100">
        <f>IF(A100="","",IFERROR(SUMIF(Registro_Notas!$A:$A,A100,Registro_Notas!$L:$L),""))</f>
      </c>
      <c r="E100">
        <f>IF(A100="","",COUNTIF(Registro_Notas!$A:$A,A100))</f>
      </c>
      <c r="F100">
        <f>IF(A100="","",COUNTIFS(Registro_Notas!$A:$A,A100,Registro_Notas!$H:$H,"&lt;&gt;Corregida",Registro_Notas!$D:$D,"&lt;&gt;"))</f>
      </c>
    </row>
    <row r="101">
      <c r="A101"/>
      <c r="B101"/>
      <c r="C101">
        <f>IF(A101="","",IFERROR(AVERAGEIF(Registro_Notas!$A:$A,A101,Registro_Notas!$J:$J),""))</f>
      </c>
      <c r="D101">
        <f>IF(A101="","",IFERROR(SUMIF(Registro_Notas!$A:$A,A101,Registro_Notas!$L:$L),""))</f>
      </c>
      <c r="E101">
        <f>IF(A101="","",COUNTIF(Registro_Notas!$A:$A,A101))</f>
      </c>
      <c r="F101">
        <f>IF(A101="","",COUNTIFS(Registro_Notas!$A:$A,A101,Registro_Notas!$H:$H,"&lt;&gt;Corregida",Registro_Notas!$D:$D,"&lt;&gt;"))</f>
      </c>
    </row>
  </sheetData>
  <autoFilter ref="A1:F10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</sheetView>
  </sheetViews>
  <cols>
    <col min="1" max="1" width="28" customWidth="1"/>
    <col min="2" max="2" width="80" customWidth="1"/>
  </cols>
  <sheetFormatPr defaultRowHeight="15"/>
  <sheetData>
    <row r="1">
      <c r="A1" t="inlineStr" s="1">
        <is>
          <t>Campo</t>
        </is>
      </c>
      <c r="B1" t="inlineStr" s="1">
        <is>
          <t>Valores</t>
        </is>
      </c>
    </row>
    <row r="2">
      <c r="A2" t="inlineStr">
        <is>
          <t>Estado impartición</t>
        </is>
      </c>
      <c r="B2" t="inlineStr">
        <is>
          <t>Pendiente; En curso; Impartido; Reforzar; Omitido</t>
        </is>
      </c>
    </row>
    <row r="3">
      <c r="A3" t="inlineStr">
        <is>
          <t>Evalúa</t>
        </is>
      </c>
      <c r="B3" t="inlineStr">
        <is>
          <t>Sí; No; Revisar</t>
        </is>
      </c>
    </row>
    <row r="4">
      <c r="A4" t="inlineStr">
        <is>
          <t>Estado actividad</t>
        </is>
      </c>
      <c r="B4" t="inlineStr">
        <is>
          <t>Pendiente; En curso; Entregada; Corregida; Devuelta; Archivada</t>
        </is>
      </c>
    </row>
    <row r="5">
      <c r="A5" t="inlineStr">
        <is>
          <t>Estado entrega</t>
        </is>
      </c>
      <c r="B5" t="inlineStr">
        <is>
          <t>No empezada; En curso; Entregada; No entregada</t>
        </is>
      </c>
    </row>
    <row r="6">
      <c r="A6" t="inlineStr">
        <is>
          <t>Estado corrección</t>
        </is>
      </c>
      <c r="B6" t="inlineStr">
        <is>
          <t>Pendiente; En corrección; Corregida; Devuelta</t>
        </is>
      </c>
    </row>
  </sheetData>
  <autoFilter ref="A1:B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PIA course tracking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Seguimiento curso PIA</dc:title>
  <dc:creator>IES Rafael Alberti</dc:creator>
  <cp:lastModifiedBy>IES Rafael Alberti</cp:lastModifiedBy>
  <dcterms:created xsi:type="dcterms:W3CDTF">2026-07-06T00:00:00Z</dcterms:created>
  <dcterms:modified xsi:type="dcterms:W3CDTF">2026-07-06T00:00:00Z</dcterms:modified>
</cp:coreProperties>
</file>