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Imparticion" sheetId="2" r:id="rId2"/>
    <sheet name="Actividades" sheetId="3" r:id="rId3"/>
    <sheet name="Registro_CE" sheetId="4" r:id="rId4"/>
    <sheet name="Resumen_CE" sheetId="5" r:id="rId5"/>
    <sheet name="Registro_Notas" sheetId="6" r:id="rId6"/>
    <sheet name="RA_CE" sheetId="7" r:id="rId7"/>
    <sheet name="Listas" sheetId="8" r:id="rId8"/>
  </sheets>
  <calcPr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/>
    <xf numFmtId="0" fontId="1" fillId="2" border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</sheetView>
  </sheetViews>
  <cols>
    <col min="1" max="1" width="24" customWidth="1"/>
    <col min="2" max="2" width="120" customWidth="1"/>
  </cols>
  <sheetFormatPr defaultRowHeight="15"/>
  <sheetData>
    <row r="1">
      <c r="A1" t="inlineStr" s="1">
        <is>
          <t>Hoja</t>
        </is>
      </c>
      <c r="B1" t="inlineStr" s="1">
        <is>
          <t>Uso</t>
        </is>
      </c>
    </row>
    <row r="2">
      <c r="A2" t="inlineStr">
        <is>
          <t>Imparticion</t>
        </is>
      </c>
      <c r="B2" t="inlineStr">
        <is>
          <t>Marcar partes impartidas, fechas, sesiones y observaciones por grupo.</t>
        </is>
      </c>
    </row>
    <row r="3">
      <c r="A3" t="inlineStr">
        <is>
          <t>Actividades</t>
        </is>
      </c>
      <c r="B3" t="inlineStr">
        <is>
          <t>Catálogo de prácticas/evaluaciones; la tarea es contenedor, no necesariamente la unidad oficial de nota.</t>
        </is>
      </c>
    </row>
    <row r="4">
      <c r="A4" t="inlineStr">
        <is>
          <t>Registro_CE</t>
        </is>
      </c>
      <c r="B4" t="inlineStr">
        <is>
          <t>Entrada principal recomendada: una fila por alumno, actividad y CE evaluado.</t>
        </is>
      </c>
    </row>
    <row r="5">
      <c r="A5" t="inlineStr">
        <is>
          <t>Resumen_CE</t>
        </is>
      </c>
      <c r="B5" t="inlineStr">
        <is>
          <t>Medias por alumno y CE a partir de Registro_CE.</t>
        </is>
      </c>
    </row>
    <row r="6">
      <c r="A6" t="inlineStr">
        <is>
          <t>Registro_Notas</t>
        </is>
      </c>
      <c r="B6" t="inlineStr">
        <is>
          <t>Hoja auxiliar si alguna actividad se califica globalmente; no sustituye Registro_CE.</t>
        </is>
      </c>
    </row>
    <row r="7">
      <c r="A7" t="inlineStr">
        <is>
          <t>RA_CE</t>
        </is>
      </c>
      <c r="B7" t="inlineStr">
        <is>
          <t>Texto de referencia de RA y CE.</t>
        </is>
      </c>
    </row>
  </sheetData>
  <autoFilter ref="A1:B7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2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24" customWidth="1"/>
    <col min="4" max="4" width="16" customWidth="1"/>
    <col min="5" max="5" width="55" customWidth="1"/>
    <col min="6" max="6" width="16" customWidth="1"/>
    <col min="7" max="7" width="14" customWidth="1"/>
    <col min="8" max="8" width="14" customWidth="1"/>
    <col min="9" max="9" width="18" customWidth="1"/>
    <col min="10" max="10" width="16" customWidth="1"/>
    <col min="11" max="11" width="14" customWidth="1"/>
    <col min="12" max="12" width="45" customWidth="1"/>
    <col min="13" max="13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Parte/Bloque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Estado</t>
        </is>
      </c>
      <c r="G1" t="inlineStr" s="1">
        <is>
          <t>Fecha inicio</t>
        </is>
      </c>
      <c r="H1" t="inlineStr" s="1">
        <is>
          <t>Fecha fin</t>
        </is>
      </c>
      <c r="I1" t="inlineStr" s="1">
        <is>
          <t>Sesiones previstas</t>
        </is>
      </c>
      <c r="J1" t="inlineStr" s="1">
        <is>
          <t>Sesiones reales</t>
        </is>
      </c>
      <c r="K1" t="inlineStr" s="1">
        <is>
          <t>Grupo</t>
        </is>
      </c>
      <c r="L1" t="inlineStr" s="1">
        <is>
          <t>Observaciones</t>
        </is>
      </c>
      <c r="M1" t="inlineStr" s="1">
        <is>
          <t>Próxima acción</t>
        </is>
      </c>
    </row>
    <row r="2">
      <c r="A2" t="inlineStr">
        <is>
          <t>00</t>
        </is>
      </c>
      <c r="B2" t="inlineStr">
        <is>
          <t>Prompts base para futuras reformas de módulos</t>
        </is>
      </c>
      <c r="C2" t="inlineStr">
        <is>
          <t>Índice / presentación</t>
        </is>
      </c>
      <c r="D2" t="inlineStr">
        <is>
          <t>documentación</t>
        </is>
      </c>
      <c r="E2" t="inlineStr">
        <is>
          <t>00-planificación/README.md</t>
        </is>
      </c>
      <c r="F2" t="inlineStr">
        <is>
          <t>Pendiente</t>
        </is>
      </c>
      <c r="G2"/>
      <c r="H2"/>
      <c r="I2"/>
      <c r="J2"/>
      <c r="K2"/>
      <c r="L2"/>
      <c r="M2"/>
    </row>
    <row r="3">
      <c r="A3" t="inlineStr">
        <is>
          <t>00</t>
        </is>
      </c>
      <c r="B3" t="inlineStr">
        <is>
          <t>Prompts base para futuras reformas de módulos</t>
        </is>
      </c>
      <c r="C3" t="inlineStr">
        <is>
          <t>Plantillas</t>
        </is>
      </c>
      <c r="D3" t="inlineStr">
        <is>
          <t>bloque</t>
        </is>
      </c>
      <c r="E3" t="inlineStr">
        <is>
          <t>00-planificación/plantillas</t>
        </is>
      </c>
      <c r="F3" t="inlineStr">
        <is>
          <t>Pendiente</t>
        </is>
      </c>
      <c r="G3"/>
      <c r="H3"/>
      <c r="I3"/>
      <c r="J3"/>
      <c r="K3"/>
      <c r="L3"/>
      <c r="M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Índice / presentación</t>
        </is>
      </c>
      <c r="D4" t="inlineStr">
        <is>
          <t>documentación</t>
        </is>
      </c>
      <c r="E4" t="inlineStr">
        <is>
          <t>01-fundamentos-python/README.md</t>
        </is>
      </c>
      <c r="F4" t="inlineStr">
        <is>
          <t>Pendiente</t>
        </is>
      </c>
      <c r="G4"/>
      <c r="H4"/>
      <c r="I4"/>
      <c r="J4"/>
      <c r="K4"/>
      <c r="L4"/>
      <c r="M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Teoría</t>
        </is>
      </c>
      <c r="D5" t="inlineStr">
        <is>
          <t>teoría</t>
        </is>
      </c>
      <c r="E5" t="inlineStr">
        <is>
          <t>01-fundamentos-python/01-teoria</t>
        </is>
      </c>
      <c r="F5" t="inlineStr">
        <is>
          <t>Pendiente</t>
        </is>
      </c>
      <c r="G5"/>
      <c r="H5"/>
      <c r="I5"/>
      <c r="J5"/>
      <c r="K5"/>
      <c r="L5"/>
      <c r="M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Ejemplos</t>
        </is>
      </c>
      <c r="D6" t="inlineStr">
        <is>
          <t>ejemplo</t>
        </is>
      </c>
      <c r="E6" t="inlineStr">
        <is>
          <t>01-fundamentos-python/02-ejemplos</t>
        </is>
      </c>
      <c r="F6" t="inlineStr">
        <is>
          <t>Pendiente</t>
        </is>
      </c>
      <c r="G6"/>
      <c r="H6"/>
      <c r="I6"/>
      <c r="J6"/>
      <c r="K6"/>
      <c r="L6"/>
      <c r="M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Prácticas</t>
        </is>
      </c>
      <c r="D7" t="inlineStr">
        <is>
          <t>práctica</t>
        </is>
      </c>
      <c r="E7" t="inlineStr">
        <is>
          <t>01-fundamentos-python/03-practicas</t>
        </is>
      </c>
      <c r="F7" t="inlineStr">
        <is>
          <t>Pendiente</t>
        </is>
      </c>
      <c r="G7"/>
      <c r="H7"/>
      <c r="I7"/>
      <c r="J7"/>
      <c r="K7"/>
      <c r="L7"/>
      <c r="M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Evaluación</t>
        </is>
      </c>
      <c r="D8" t="inlineStr">
        <is>
          <t>evaluación</t>
        </is>
      </c>
      <c r="E8" t="inlineStr">
        <is>
          <t>01-fundamentos-python/04-evaluacion</t>
        </is>
      </c>
      <c r="F8" t="inlineStr">
        <is>
          <t>Pendiente</t>
        </is>
      </c>
      <c r="G8"/>
      <c r="H8"/>
      <c r="I8"/>
      <c r="J8"/>
      <c r="K8"/>
      <c r="L8"/>
      <c r="M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Recursos</t>
        </is>
      </c>
      <c r="D9" t="inlineStr">
        <is>
          <t>recurso</t>
        </is>
      </c>
      <c r="E9" t="inlineStr">
        <is>
          <t>01-fundamentos-python/05-recursos</t>
        </is>
      </c>
      <c r="F9" t="inlineStr">
        <is>
          <t>Pendiente</t>
        </is>
      </c>
      <c r="G9"/>
      <c r="H9"/>
      <c r="I9"/>
      <c r="J9"/>
      <c r="K9"/>
      <c r="L9"/>
      <c r="M9"/>
    </row>
    <row r="10">
      <c r="A10" t="inlineStr">
        <is>
          <t>02</t>
        </is>
      </c>
      <c r="B10" t="inlineStr">
        <is>
          <t>02 — Tratamiento de Datos</t>
        </is>
      </c>
      <c r="C10" t="inlineStr">
        <is>
          <t>Índice / presentación</t>
        </is>
      </c>
      <c r="D10" t="inlineStr">
        <is>
          <t>documentación</t>
        </is>
      </c>
      <c r="E10" t="inlineStr">
        <is>
          <t>02-tratamiento-datos/README.md</t>
        </is>
      </c>
      <c r="F10" t="inlineStr">
        <is>
          <t>Pendiente</t>
        </is>
      </c>
      <c r="G10"/>
      <c r="H10"/>
      <c r="I10"/>
      <c r="J10"/>
      <c r="K10"/>
      <c r="L10"/>
      <c r="M10"/>
    </row>
    <row r="11">
      <c r="A11" t="inlineStr">
        <is>
          <t>02</t>
        </is>
      </c>
      <c r="B11" t="inlineStr">
        <is>
          <t>02 — Tratamiento de Datos</t>
        </is>
      </c>
      <c r="C11" t="inlineStr">
        <is>
          <t>Teoría</t>
        </is>
      </c>
      <c r="D11" t="inlineStr">
        <is>
          <t>teoría</t>
        </is>
      </c>
      <c r="E11" t="inlineStr">
        <is>
          <t>02-tratamiento-datos/01-teoria</t>
        </is>
      </c>
      <c r="F11" t="inlineStr">
        <is>
          <t>Pendiente</t>
        </is>
      </c>
      <c r="G11"/>
      <c r="H11"/>
      <c r="I11"/>
      <c r="J11"/>
      <c r="K11"/>
      <c r="L11"/>
      <c r="M11"/>
    </row>
    <row r="12">
      <c r="A12" t="inlineStr">
        <is>
          <t>02</t>
        </is>
      </c>
      <c r="B12" t="inlineStr">
        <is>
          <t>02 — Tratamiento de Datos</t>
        </is>
      </c>
      <c r="C12" t="inlineStr">
        <is>
          <t>Ejemplos</t>
        </is>
      </c>
      <c r="D12" t="inlineStr">
        <is>
          <t>ejemplo</t>
        </is>
      </c>
      <c r="E12" t="inlineStr">
        <is>
          <t>02-tratamiento-datos/02-ejemplos</t>
        </is>
      </c>
      <c r="F12" t="inlineStr">
        <is>
          <t>Pendiente</t>
        </is>
      </c>
      <c r="G12"/>
      <c r="H12"/>
      <c r="I12"/>
      <c r="J12"/>
      <c r="K12"/>
      <c r="L12"/>
      <c r="M12"/>
    </row>
    <row r="13">
      <c r="A13" t="inlineStr">
        <is>
          <t>02</t>
        </is>
      </c>
      <c r="B13" t="inlineStr">
        <is>
          <t>02 — Tratamiento de Datos</t>
        </is>
      </c>
      <c r="C13" t="inlineStr">
        <is>
          <t>Prácticas</t>
        </is>
      </c>
      <c r="D13" t="inlineStr">
        <is>
          <t>práctica</t>
        </is>
      </c>
      <c r="E13" t="inlineStr">
        <is>
          <t>02-tratamiento-datos/03-practicas</t>
        </is>
      </c>
      <c r="F13" t="inlineStr">
        <is>
          <t>Pendiente</t>
        </is>
      </c>
      <c r="G13"/>
      <c r="H13"/>
      <c r="I13"/>
      <c r="J13"/>
      <c r="K13"/>
      <c r="L13"/>
      <c r="M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Evaluación</t>
        </is>
      </c>
      <c r="D14" t="inlineStr">
        <is>
          <t>evaluación</t>
        </is>
      </c>
      <c r="E14" t="inlineStr">
        <is>
          <t>02-tratamiento-datos/04-evaluacion</t>
        </is>
      </c>
      <c r="F14" t="inlineStr">
        <is>
          <t>Pendiente</t>
        </is>
      </c>
      <c r="G14"/>
      <c r="H14"/>
      <c r="I14"/>
      <c r="J14"/>
      <c r="K14"/>
      <c r="L14"/>
      <c r="M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Recursos</t>
        </is>
      </c>
      <c r="D15" t="inlineStr">
        <is>
          <t>recurso</t>
        </is>
      </c>
      <c r="E15" t="inlineStr">
        <is>
          <t>02-tratamiento-datos/05-recursos</t>
        </is>
      </c>
      <c r="F15" t="inlineStr">
        <is>
          <t>Pendiente</t>
        </is>
      </c>
      <c r="G15"/>
      <c r="H15"/>
      <c r="I15"/>
      <c r="J15"/>
      <c r="K15"/>
      <c r="L15"/>
      <c r="M15"/>
    </row>
    <row r="16">
      <c r="A16" t="inlineStr">
        <is>
          <t>03</t>
        </is>
      </c>
      <c r="B16" t="inlineStr">
        <is>
          <t>03 - Machine Learning</t>
        </is>
      </c>
      <c r="C16" t="inlineStr">
        <is>
          <t>Índice / presentación</t>
        </is>
      </c>
      <c r="D16" t="inlineStr">
        <is>
          <t>documentación</t>
        </is>
      </c>
      <c r="E16" t="inlineStr">
        <is>
          <t>03-machine-learning/README.md</t>
        </is>
      </c>
      <c r="F16" t="inlineStr">
        <is>
          <t>Pendiente</t>
        </is>
      </c>
      <c r="G16"/>
      <c r="H16"/>
      <c r="I16"/>
      <c r="J16"/>
      <c r="K16"/>
      <c r="L16"/>
      <c r="M16"/>
    </row>
    <row r="17">
      <c r="A17" t="inlineStr">
        <is>
          <t>03</t>
        </is>
      </c>
      <c r="B17" t="inlineStr">
        <is>
          <t>03 - Machine Learning</t>
        </is>
      </c>
      <c r="C17" t="inlineStr">
        <is>
          <t>Teoría</t>
        </is>
      </c>
      <c r="D17" t="inlineStr">
        <is>
          <t>teoría</t>
        </is>
      </c>
      <c r="E17" t="inlineStr">
        <is>
          <t>03-machine-learning/01-teoria</t>
        </is>
      </c>
      <c r="F17" t="inlineStr">
        <is>
          <t>Pendiente</t>
        </is>
      </c>
      <c r="G17"/>
      <c r="H17"/>
      <c r="I17"/>
      <c r="J17"/>
      <c r="K17"/>
      <c r="L17"/>
      <c r="M17"/>
    </row>
    <row r="18">
      <c r="A18" t="inlineStr">
        <is>
          <t>03</t>
        </is>
      </c>
      <c r="B18" t="inlineStr">
        <is>
          <t>03 - Machine Learning</t>
        </is>
      </c>
      <c r="C18" t="inlineStr">
        <is>
          <t>Ejemplos</t>
        </is>
      </c>
      <c r="D18" t="inlineStr">
        <is>
          <t>ejemplo</t>
        </is>
      </c>
      <c r="E18" t="inlineStr">
        <is>
          <t>03-machine-learning/02-ejemplos</t>
        </is>
      </c>
      <c r="F18" t="inlineStr">
        <is>
          <t>Pendiente</t>
        </is>
      </c>
      <c r="G18"/>
      <c r="H18"/>
      <c r="I18"/>
      <c r="J18"/>
      <c r="K18"/>
      <c r="L18"/>
      <c r="M18"/>
    </row>
    <row r="19">
      <c r="A19" t="inlineStr">
        <is>
          <t>03</t>
        </is>
      </c>
      <c r="B19" t="inlineStr">
        <is>
          <t>03 - Machine Learning</t>
        </is>
      </c>
      <c r="C19" t="inlineStr">
        <is>
          <t>Prácticas</t>
        </is>
      </c>
      <c r="D19" t="inlineStr">
        <is>
          <t>práctica</t>
        </is>
      </c>
      <c r="E19" t="inlineStr">
        <is>
          <t>03-machine-learning/03-practicas</t>
        </is>
      </c>
      <c r="F19" t="inlineStr">
        <is>
          <t>Pendiente</t>
        </is>
      </c>
      <c r="G19"/>
      <c r="H19"/>
      <c r="I19"/>
      <c r="J19"/>
      <c r="K19"/>
      <c r="L19"/>
      <c r="M19"/>
    </row>
    <row r="20">
      <c r="A20" t="inlineStr">
        <is>
          <t>03</t>
        </is>
      </c>
      <c r="B20" t="inlineStr">
        <is>
          <t>03 - Machine Learning</t>
        </is>
      </c>
      <c r="C20" t="inlineStr">
        <is>
          <t>Evaluación</t>
        </is>
      </c>
      <c r="D20" t="inlineStr">
        <is>
          <t>evaluación</t>
        </is>
      </c>
      <c r="E20" t="inlineStr">
        <is>
          <t>03-machine-learning/04-evaluacion</t>
        </is>
      </c>
      <c r="F20" t="inlineStr">
        <is>
          <t>Pendiente</t>
        </is>
      </c>
      <c r="G20"/>
      <c r="H20"/>
      <c r="I20"/>
      <c r="J20"/>
      <c r="K20"/>
      <c r="L20"/>
      <c r="M20"/>
    </row>
    <row r="21">
      <c r="A21" t="inlineStr">
        <is>
          <t>03</t>
        </is>
      </c>
      <c r="B21" t="inlineStr">
        <is>
          <t>03 - Machine Learning</t>
        </is>
      </c>
      <c r="C21" t="inlineStr">
        <is>
          <t>Recursos</t>
        </is>
      </c>
      <c r="D21" t="inlineStr">
        <is>
          <t>recurso</t>
        </is>
      </c>
      <c r="E21" t="inlineStr">
        <is>
          <t>03-machine-learning/05-recursos</t>
        </is>
      </c>
      <c r="F21" t="inlineStr">
        <is>
          <t>Pendiente</t>
        </is>
      </c>
      <c r="G21"/>
      <c r="H21"/>
      <c r="I21"/>
      <c r="J21"/>
      <c r="K21"/>
      <c r="L21"/>
      <c r="M21"/>
    </row>
    <row r="22">
      <c r="A22" t="inlineStr">
        <is>
          <t>04</t>
        </is>
      </c>
      <c r="B22" t="inlineStr">
        <is>
          <t>04 - Deep Learning</t>
        </is>
      </c>
      <c r="C22" t="inlineStr">
        <is>
          <t>Índice / presentación</t>
        </is>
      </c>
      <c r="D22" t="inlineStr">
        <is>
          <t>documentación</t>
        </is>
      </c>
      <c r="E22" t="inlineStr">
        <is>
          <t>04-deep-learning/README.md</t>
        </is>
      </c>
      <c r="F22" t="inlineStr">
        <is>
          <t>Pendiente</t>
        </is>
      </c>
      <c r="G22"/>
      <c r="H22"/>
      <c r="I22"/>
      <c r="J22"/>
      <c r="K22"/>
      <c r="L22"/>
      <c r="M22"/>
    </row>
    <row r="23">
      <c r="A23" t="inlineStr">
        <is>
          <t>04</t>
        </is>
      </c>
      <c r="B23" t="inlineStr">
        <is>
          <t>04 - Deep Learning</t>
        </is>
      </c>
      <c r="C23" t="inlineStr">
        <is>
          <t>Teoría</t>
        </is>
      </c>
      <c r="D23" t="inlineStr">
        <is>
          <t>teoría</t>
        </is>
      </c>
      <c r="E23" t="inlineStr">
        <is>
          <t>04-deep-learning/01-teoria</t>
        </is>
      </c>
      <c r="F23" t="inlineStr">
        <is>
          <t>Pendiente</t>
        </is>
      </c>
      <c r="G23"/>
      <c r="H23"/>
      <c r="I23"/>
      <c r="J23"/>
      <c r="K23"/>
      <c r="L23"/>
      <c r="M23"/>
    </row>
    <row r="24">
      <c r="A24" t="inlineStr">
        <is>
          <t>04</t>
        </is>
      </c>
      <c r="B24" t="inlineStr">
        <is>
          <t>04 - Deep Learning</t>
        </is>
      </c>
      <c r="C24" t="inlineStr">
        <is>
          <t>Ejemplos</t>
        </is>
      </c>
      <c r="D24" t="inlineStr">
        <is>
          <t>ejemplo</t>
        </is>
      </c>
      <c r="E24" t="inlineStr">
        <is>
          <t>04-deep-learning/02-ejemplos</t>
        </is>
      </c>
      <c r="F24" t="inlineStr">
        <is>
          <t>Pendiente</t>
        </is>
      </c>
      <c r="G24"/>
      <c r="H24"/>
      <c r="I24"/>
      <c r="J24"/>
      <c r="K24"/>
      <c r="L24"/>
      <c r="M24"/>
    </row>
    <row r="25">
      <c r="A25" t="inlineStr">
        <is>
          <t>04</t>
        </is>
      </c>
      <c r="B25" t="inlineStr">
        <is>
          <t>04 - Deep Learning</t>
        </is>
      </c>
      <c r="C25" t="inlineStr">
        <is>
          <t>Prácticas</t>
        </is>
      </c>
      <c r="D25" t="inlineStr">
        <is>
          <t>práctica</t>
        </is>
      </c>
      <c r="E25" t="inlineStr">
        <is>
          <t>04-deep-learning/03-practicas</t>
        </is>
      </c>
      <c r="F25" t="inlineStr">
        <is>
          <t>Pendiente</t>
        </is>
      </c>
      <c r="G25"/>
      <c r="H25"/>
      <c r="I25"/>
      <c r="J25"/>
      <c r="K25"/>
      <c r="L25"/>
      <c r="M25"/>
    </row>
    <row r="26">
      <c r="A26" t="inlineStr">
        <is>
          <t>04</t>
        </is>
      </c>
      <c r="B26" t="inlineStr">
        <is>
          <t>04 - Deep Learning</t>
        </is>
      </c>
      <c r="C26" t="inlineStr">
        <is>
          <t>Evaluación</t>
        </is>
      </c>
      <c r="D26" t="inlineStr">
        <is>
          <t>evaluación</t>
        </is>
      </c>
      <c r="E26" t="inlineStr">
        <is>
          <t>04-deep-learning/04-evaluacion</t>
        </is>
      </c>
      <c r="F26" t="inlineStr">
        <is>
          <t>Pendiente</t>
        </is>
      </c>
      <c r="G26"/>
      <c r="H26"/>
      <c r="I26"/>
      <c r="J26"/>
      <c r="K26"/>
      <c r="L26"/>
      <c r="M26"/>
    </row>
    <row r="27">
      <c r="A27" t="inlineStr">
        <is>
          <t>04</t>
        </is>
      </c>
      <c r="B27" t="inlineStr">
        <is>
          <t>04 - Deep Learning</t>
        </is>
      </c>
      <c r="C27" t="inlineStr">
        <is>
          <t>Recursos</t>
        </is>
      </c>
      <c r="D27" t="inlineStr">
        <is>
          <t>recurso</t>
        </is>
      </c>
      <c r="E27" t="inlineStr">
        <is>
          <t>04-deep-learning/05-recursos</t>
        </is>
      </c>
      <c r="F27" t="inlineStr">
        <is>
          <t>Pendiente</t>
        </is>
      </c>
      <c r="G27"/>
      <c r="H27"/>
      <c r="I27"/>
      <c r="J27"/>
      <c r="K27"/>
      <c r="L27"/>
      <c r="M27"/>
    </row>
    <row r="28">
      <c r="A28" t="inlineStr">
        <is>
          <t>05</t>
        </is>
      </c>
      <c r="B28" t="inlineStr">
        <is>
          <t>05-cloud-mlops</t>
        </is>
      </c>
      <c r="C28" t="inlineStr">
        <is>
          <t>Índice / presentación</t>
        </is>
      </c>
      <c r="D28" t="inlineStr">
        <is>
          <t>documentación</t>
        </is>
      </c>
      <c r="E28" t="inlineStr">
        <is>
          <t>05-cloud-mlops/README.md</t>
        </is>
      </c>
      <c r="F28" t="inlineStr">
        <is>
          <t>Pendiente</t>
        </is>
      </c>
      <c r="G28"/>
      <c r="H28"/>
      <c r="I28"/>
      <c r="J28"/>
      <c r="K28"/>
      <c r="L28"/>
      <c r="M28"/>
    </row>
    <row r="29">
      <c r="A29" t="inlineStr">
        <is>
          <t>05</t>
        </is>
      </c>
      <c r="B29" t="inlineStr">
        <is>
          <t>05-cloud-mlops</t>
        </is>
      </c>
      <c r="C29" t="inlineStr">
        <is>
          <t>Teoría</t>
        </is>
      </c>
      <c r="D29" t="inlineStr">
        <is>
          <t>teoría</t>
        </is>
      </c>
      <c r="E29" t="inlineStr">
        <is>
          <t>05-cloud-mlops/01-teoria</t>
        </is>
      </c>
      <c r="F29" t="inlineStr">
        <is>
          <t>Pendiente</t>
        </is>
      </c>
      <c r="G29"/>
      <c r="H29"/>
      <c r="I29"/>
      <c r="J29"/>
      <c r="K29"/>
      <c r="L29"/>
      <c r="M29"/>
    </row>
    <row r="30">
      <c r="A30" t="inlineStr">
        <is>
          <t>05</t>
        </is>
      </c>
      <c r="B30" t="inlineStr">
        <is>
          <t>05-cloud-mlops</t>
        </is>
      </c>
      <c r="C30" t="inlineStr">
        <is>
          <t>Ejemplos</t>
        </is>
      </c>
      <c r="D30" t="inlineStr">
        <is>
          <t>ejemplo</t>
        </is>
      </c>
      <c r="E30" t="inlineStr">
        <is>
          <t>05-cloud-mlops/02-ejemplos</t>
        </is>
      </c>
      <c r="F30" t="inlineStr">
        <is>
          <t>Pendiente</t>
        </is>
      </c>
      <c r="G30"/>
      <c r="H30"/>
      <c r="I30"/>
      <c r="J30"/>
      <c r="K30"/>
      <c r="L30"/>
      <c r="M30"/>
    </row>
    <row r="31">
      <c r="A31" t="inlineStr">
        <is>
          <t>05</t>
        </is>
      </c>
      <c r="B31" t="inlineStr">
        <is>
          <t>05-cloud-mlops</t>
        </is>
      </c>
      <c r="C31" t="inlineStr">
        <is>
          <t>Prácticas</t>
        </is>
      </c>
      <c r="D31" t="inlineStr">
        <is>
          <t>práctica</t>
        </is>
      </c>
      <c r="E31" t="inlineStr">
        <is>
          <t>05-cloud-mlops/03-practicas</t>
        </is>
      </c>
      <c r="F31" t="inlineStr">
        <is>
          <t>Pendiente</t>
        </is>
      </c>
      <c r="G31"/>
      <c r="H31"/>
      <c r="I31"/>
      <c r="J31"/>
      <c r="K31"/>
      <c r="L31"/>
      <c r="M31"/>
    </row>
    <row r="32">
      <c r="A32" t="inlineStr">
        <is>
          <t>05</t>
        </is>
      </c>
      <c r="B32" t="inlineStr">
        <is>
          <t>05-cloud-mlops</t>
        </is>
      </c>
      <c r="C32" t="inlineStr">
        <is>
          <t>Evaluación</t>
        </is>
      </c>
      <c r="D32" t="inlineStr">
        <is>
          <t>evaluación</t>
        </is>
      </c>
      <c r="E32" t="inlineStr">
        <is>
          <t>05-cloud-mlops/04-evaluacion</t>
        </is>
      </c>
      <c r="F32" t="inlineStr">
        <is>
          <t>Pendiente</t>
        </is>
      </c>
      <c r="G32"/>
      <c r="H32"/>
      <c r="I32"/>
      <c r="J32"/>
      <c r="K32"/>
      <c r="L32"/>
      <c r="M32"/>
    </row>
    <row r="33">
      <c r="A33" t="inlineStr">
        <is>
          <t>05</t>
        </is>
      </c>
      <c r="B33" t="inlineStr">
        <is>
          <t>05-cloud-mlops</t>
        </is>
      </c>
      <c r="C33" t="inlineStr">
        <is>
          <t>Recursos</t>
        </is>
      </c>
      <c r="D33" t="inlineStr">
        <is>
          <t>recurso</t>
        </is>
      </c>
      <c r="E33" t="inlineStr">
        <is>
          <t>05-cloud-mlops/05-recursos</t>
        </is>
      </c>
      <c r="F33" t="inlineStr">
        <is>
          <t>Pendiente</t>
        </is>
      </c>
      <c r="G33"/>
      <c r="H33"/>
      <c r="I33"/>
      <c r="J33"/>
      <c r="K33"/>
      <c r="L33"/>
      <c r="M33"/>
    </row>
    <row r="34">
      <c r="A34" t="inlineStr">
        <is>
          <t>06</t>
        </is>
      </c>
      <c r="B34" t="inlineStr">
        <is>
          <t>06-llm-agentes</t>
        </is>
      </c>
      <c r="C34" t="inlineStr">
        <is>
          <t>Índice / presentación</t>
        </is>
      </c>
      <c r="D34" t="inlineStr">
        <is>
          <t>documentación</t>
        </is>
      </c>
      <c r="E34" t="inlineStr">
        <is>
          <t>06-llm-agentes/README.md</t>
        </is>
      </c>
      <c r="F34" t="inlineStr">
        <is>
          <t>Pendiente</t>
        </is>
      </c>
      <c r="G34"/>
      <c r="H34"/>
      <c r="I34"/>
      <c r="J34"/>
      <c r="K34"/>
      <c r="L34"/>
      <c r="M34"/>
    </row>
    <row r="35">
      <c r="A35" t="inlineStr">
        <is>
          <t>06</t>
        </is>
      </c>
      <c r="B35" t="inlineStr">
        <is>
          <t>06-llm-agentes</t>
        </is>
      </c>
      <c r="C35" t="inlineStr">
        <is>
          <t>Teoría</t>
        </is>
      </c>
      <c r="D35" t="inlineStr">
        <is>
          <t>teoría</t>
        </is>
      </c>
      <c r="E35" t="inlineStr">
        <is>
          <t>06-llm-agentes/01-teoria</t>
        </is>
      </c>
      <c r="F35" t="inlineStr">
        <is>
          <t>Pendiente</t>
        </is>
      </c>
      <c r="G35"/>
      <c r="H35"/>
      <c r="I35"/>
      <c r="J35"/>
      <c r="K35"/>
      <c r="L35"/>
      <c r="M35"/>
    </row>
    <row r="36">
      <c r="A36" t="inlineStr">
        <is>
          <t>06</t>
        </is>
      </c>
      <c r="B36" t="inlineStr">
        <is>
          <t>06-llm-agentes</t>
        </is>
      </c>
      <c r="C36" t="inlineStr">
        <is>
          <t>Ejemplos</t>
        </is>
      </c>
      <c r="D36" t="inlineStr">
        <is>
          <t>ejemplo</t>
        </is>
      </c>
      <c r="E36" t="inlineStr">
        <is>
          <t>06-llm-agentes/02-ejemplos</t>
        </is>
      </c>
      <c r="F36" t="inlineStr">
        <is>
          <t>Pendiente</t>
        </is>
      </c>
      <c r="G36"/>
      <c r="H36"/>
      <c r="I36"/>
      <c r="J36"/>
      <c r="K36"/>
      <c r="L36"/>
      <c r="M36"/>
    </row>
    <row r="37">
      <c r="A37" t="inlineStr">
        <is>
          <t>06</t>
        </is>
      </c>
      <c r="B37" t="inlineStr">
        <is>
          <t>06-llm-agentes</t>
        </is>
      </c>
      <c r="C37" t="inlineStr">
        <is>
          <t>Prácticas</t>
        </is>
      </c>
      <c r="D37" t="inlineStr">
        <is>
          <t>práctica</t>
        </is>
      </c>
      <c r="E37" t="inlineStr">
        <is>
          <t>06-llm-agentes/03-practicas</t>
        </is>
      </c>
      <c r="F37" t="inlineStr">
        <is>
          <t>Pendiente</t>
        </is>
      </c>
      <c r="G37"/>
      <c r="H37"/>
      <c r="I37"/>
      <c r="J37"/>
      <c r="K37"/>
      <c r="L37"/>
      <c r="M37"/>
    </row>
    <row r="38">
      <c r="A38" t="inlineStr">
        <is>
          <t>06</t>
        </is>
      </c>
      <c r="B38" t="inlineStr">
        <is>
          <t>06-llm-agentes</t>
        </is>
      </c>
      <c r="C38" t="inlineStr">
        <is>
          <t>Evaluación</t>
        </is>
      </c>
      <c r="D38" t="inlineStr">
        <is>
          <t>evaluación</t>
        </is>
      </c>
      <c r="E38" t="inlineStr">
        <is>
          <t>06-llm-agentes/04-evaluacion</t>
        </is>
      </c>
      <c r="F38" t="inlineStr">
        <is>
          <t>Pendiente</t>
        </is>
      </c>
      <c r="G38"/>
      <c r="H38"/>
      <c r="I38"/>
      <c r="J38"/>
      <c r="K38"/>
      <c r="L38"/>
      <c r="M38"/>
    </row>
    <row r="39">
      <c r="A39" t="inlineStr">
        <is>
          <t>06</t>
        </is>
      </c>
      <c r="B39" t="inlineStr">
        <is>
          <t>06-llm-agentes</t>
        </is>
      </c>
      <c r="C39" t="inlineStr">
        <is>
          <t>Recursos</t>
        </is>
      </c>
      <c r="D39" t="inlineStr">
        <is>
          <t>recurso</t>
        </is>
      </c>
      <c r="E39" t="inlineStr">
        <is>
          <t>06-llm-agentes/05-recursos</t>
        </is>
      </c>
      <c r="F39" t="inlineStr">
        <is>
          <t>Pendiente</t>
        </is>
      </c>
      <c r="G39"/>
      <c r="H39"/>
      <c r="I39"/>
      <c r="J39"/>
      <c r="K39"/>
      <c r="L39"/>
      <c r="M39"/>
    </row>
    <row r="40">
      <c r="A40" t="inlineStr">
        <is>
          <t>07</t>
        </is>
      </c>
      <c r="B40" t="inlineStr">
        <is>
          <t>UD7 — Convergencia de Herramientas IA</t>
        </is>
      </c>
      <c r="C40" t="inlineStr">
        <is>
          <t>Índice / presentación</t>
        </is>
      </c>
      <c r="D40" t="inlineStr">
        <is>
          <t>documentación</t>
        </is>
      </c>
      <c r="E40" t="inlineStr">
        <is>
          <t>07-convergencia-herramientas/README.md</t>
        </is>
      </c>
      <c r="F40" t="inlineStr">
        <is>
          <t>Pendiente</t>
        </is>
      </c>
      <c r="G40"/>
      <c r="H40"/>
      <c r="I40"/>
      <c r="J40"/>
      <c r="K40"/>
      <c r="L40"/>
      <c r="M40"/>
    </row>
    <row r="41">
      <c r="A41" t="inlineStr">
        <is>
          <t>07</t>
        </is>
      </c>
      <c r="B41" t="inlineStr">
        <is>
          <t>UD7 — Convergencia de Herramientas IA</t>
        </is>
      </c>
      <c r="C41" t="inlineStr">
        <is>
          <t>Teoría</t>
        </is>
      </c>
      <c r="D41" t="inlineStr">
        <is>
          <t>teoría</t>
        </is>
      </c>
      <c r="E41" t="inlineStr">
        <is>
          <t>07-convergencia-herramientas/01-teoria</t>
        </is>
      </c>
      <c r="F41" t="inlineStr">
        <is>
          <t>Pendiente</t>
        </is>
      </c>
      <c r="G41"/>
      <c r="H41"/>
      <c r="I41"/>
      <c r="J41"/>
      <c r="K41"/>
      <c r="L41"/>
      <c r="M41"/>
    </row>
    <row r="42">
      <c r="A42" t="inlineStr">
        <is>
          <t>07</t>
        </is>
      </c>
      <c r="B42" t="inlineStr">
        <is>
          <t>UD7 — Convergencia de Herramientas IA</t>
        </is>
      </c>
      <c r="C42" t="inlineStr">
        <is>
          <t>Ejemplos</t>
        </is>
      </c>
      <c r="D42" t="inlineStr">
        <is>
          <t>ejemplo</t>
        </is>
      </c>
      <c r="E42" t="inlineStr">
        <is>
          <t>07-convergencia-herramientas/02-ejemplos</t>
        </is>
      </c>
      <c r="F42" t="inlineStr">
        <is>
          <t>Pendiente</t>
        </is>
      </c>
      <c r="G42"/>
      <c r="H42"/>
      <c r="I42"/>
      <c r="J42"/>
      <c r="K42"/>
      <c r="L42"/>
      <c r="M42"/>
    </row>
    <row r="43">
      <c r="A43" t="inlineStr">
        <is>
          <t>07</t>
        </is>
      </c>
      <c r="B43" t="inlineStr">
        <is>
          <t>UD7 — Convergencia de Herramientas IA</t>
        </is>
      </c>
      <c r="C43" t="inlineStr">
        <is>
          <t>Prácticas</t>
        </is>
      </c>
      <c r="D43" t="inlineStr">
        <is>
          <t>práctica</t>
        </is>
      </c>
      <c r="E43" t="inlineStr">
        <is>
          <t>07-convergencia-herramientas/03-practicas</t>
        </is>
      </c>
      <c r="F43" t="inlineStr">
        <is>
          <t>Pendiente</t>
        </is>
      </c>
      <c r="G43"/>
      <c r="H43"/>
      <c r="I43"/>
      <c r="J43"/>
      <c r="K43"/>
      <c r="L43"/>
      <c r="M43"/>
    </row>
    <row r="44">
      <c r="A44" t="inlineStr">
        <is>
          <t>07</t>
        </is>
      </c>
      <c r="B44" t="inlineStr">
        <is>
          <t>UD7 — Convergencia de Herramientas IA</t>
        </is>
      </c>
      <c r="C44" t="inlineStr">
        <is>
          <t>Evaluación</t>
        </is>
      </c>
      <c r="D44" t="inlineStr">
        <is>
          <t>evaluación</t>
        </is>
      </c>
      <c r="E44" t="inlineStr">
        <is>
          <t>07-convergencia-herramientas/04-evaluacion</t>
        </is>
      </c>
      <c r="F44" t="inlineStr">
        <is>
          <t>Pendiente</t>
        </is>
      </c>
      <c r="G44"/>
      <c r="H44"/>
      <c r="I44"/>
      <c r="J44"/>
      <c r="K44"/>
      <c r="L44"/>
      <c r="M44"/>
    </row>
    <row r="45">
      <c r="A45" t="inlineStr">
        <is>
          <t>07</t>
        </is>
      </c>
      <c r="B45" t="inlineStr">
        <is>
          <t>UD7 — Convergencia de Herramientas IA</t>
        </is>
      </c>
      <c r="C45" t="inlineStr">
        <is>
          <t>Recursos</t>
        </is>
      </c>
      <c r="D45" t="inlineStr">
        <is>
          <t>recurso</t>
        </is>
      </c>
      <c r="E45" t="inlineStr">
        <is>
          <t>07-convergencia-herramientas/05-recursos</t>
        </is>
      </c>
      <c r="F45" t="inlineStr">
        <is>
          <t>Pendiente</t>
        </is>
      </c>
      <c r="G45"/>
      <c r="H45"/>
      <c r="I45"/>
      <c r="J45"/>
      <c r="K45"/>
      <c r="L45"/>
      <c r="M45"/>
    </row>
    <row r="46">
      <c r="A46" t="inlineStr">
        <is>
          <t>07</t>
        </is>
      </c>
      <c r="B46" t="inlineStr">
        <is>
          <t>UD7 — Convergencia de Herramientas IA</t>
        </is>
      </c>
      <c r="C46" t="inlineStr">
        <is>
          <t>Reports</t>
        </is>
      </c>
      <c r="D46" t="inlineStr">
        <is>
          <t>bloque</t>
        </is>
      </c>
      <c r="E46" t="inlineStr">
        <is>
          <t>07-convergencia-herramientas/reports</t>
        </is>
      </c>
      <c r="F46" t="inlineStr">
        <is>
          <t>Pendiente</t>
        </is>
      </c>
      <c r="G46"/>
      <c r="H46"/>
      <c r="I46"/>
      <c r="J46"/>
      <c r="K46"/>
      <c r="L46"/>
      <c r="M46"/>
    </row>
    <row r="47">
      <c r="A47" t="inlineStr">
        <is>
          <t>08</t>
        </is>
      </c>
      <c r="B47" t="inlineStr">
        <is>
          <t>08-vision-xai</t>
        </is>
      </c>
      <c r="C47" t="inlineStr">
        <is>
          <t>Índice / presentación</t>
        </is>
      </c>
      <c r="D47" t="inlineStr">
        <is>
          <t>documentación</t>
        </is>
      </c>
      <c r="E47" t="inlineStr">
        <is>
          <t>08-vision-xai/README.md</t>
        </is>
      </c>
      <c r="F47" t="inlineStr">
        <is>
          <t>Pendiente</t>
        </is>
      </c>
      <c r="G47"/>
      <c r="H47"/>
      <c r="I47"/>
      <c r="J47"/>
      <c r="K47"/>
      <c r="L47"/>
      <c r="M47"/>
    </row>
    <row r="48">
      <c r="A48" t="inlineStr">
        <is>
          <t>08</t>
        </is>
      </c>
      <c r="B48" t="inlineStr">
        <is>
          <t>08-vision-xai</t>
        </is>
      </c>
      <c r="C48" t="inlineStr">
        <is>
          <t>Teoría</t>
        </is>
      </c>
      <c r="D48" t="inlineStr">
        <is>
          <t>teoría</t>
        </is>
      </c>
      <c r="E48" t="inlineStr">
        <is>
          <t>08-vision-xai/01-teoria</t>
        </is>
      </c>
      <c r="F48" t="inlineStr">
        <is>
          <t>Pendiente</t>
        </is>
      </c>
      <c r="G48"/>
      <c r="H48"/>
      <c r="I48"/>
      <c r="J48"/>
      <c r="K48"/>
      <c r="L48"/>
      <c r="M48"/>
    </row>
    <row r="49">
      <c r="A49" t="inlineStr">
        <is>
          <t>08</t>
        </is>
      </c>
      <c r="B49" t="inlineStr">
        <is>
          <t>08-vision-xai</t>
        </is>
      </c>
      <c r="C49" t="inlineStr">
        <is>
          <t>Ejemplos</t>
        </is>
      </c>
      <c r="D49" t="inlineStr">
        <is>
          <t>ejemplo</t>
        </is>
      </c>
      <c r="E49" t="inlineStr">
        <is>
          <t>08-vision-xai/02-ejemplos</t>
        </is>
      </c>
      <c r="F49" t="inlineStr">
        <is>
          <t>Pendiente</t>
        </is>
      </c>
      <c r="G49"/>
      <c r="H49"/>
      <c r="I49"/>
      <c r="J49"/>
      <c r="K49"/>
      <c r="L49"/>
      <c r="M49"/>
    </row>
    <row r="50">
      <c r="A50" t="inlineStr">
        <is>
          <t>08</t>
        </is>
      </c>
      <c r="B50" t="inlineStr">
        <is>
          <t>08-vision-xai</t>
        </is>
      </c>
      <c r="C50" t="inlineStr">
        <is>
          <t>Prácticas</t>
        </is>
      </c>
      <c r="D50" t="inlineStr">
        <is>
          <t>práctica</t>
        </is>
      </c>
      <c r="E50" t="inlineStr">
        <is>
          <t>08-vision-xai/03-practicas</t>
        </is>
      </c>
      <c r="F50" t="inlineStr">
        <is>
          <t>Pendiente</t>
        </is>
      </c>
      <c r="G50"/>
      <c r="H50"/>
      <c r="I50"/>
      <c r="J50"/>
      <c r="K50"/>
      <c r="L50"/>
      <c r="M50"/>
    </row>
    <row r="51">
      <c r="A51" t="inlineStr">
        <is>
          <t>08</t>
        </is>
      </c>
      <c r="B51" t="inlineStr">
        <is>
          <t>08-vision-xai</t>
        </is>
      </c>
      <c r="C51" t="inlineStr">
        <is>
          <t>Evaluación</t>
        </is>
      </c>
      <c r="D51" t="inlineStr">
        <is>
          <t>evaluación</t>
        </is>
      </c>
      <c r="E51" t="inlineStr">
        <is>
          <t>08-vision-xai/04-evaluacion</t>
        </is>
      </c>
      <c r="F51" t="inlineStr">
        <is>
          <t>Pendiente</t>
        </is>
      </c>
      <c r="G51"/>
      <c r="H51"/>
      <c r="I51"/>
      <c r="J51"/>
      <c r="K51"/>
      <c r="L51"/>
      <c r="M51"/>
    </row>
    <row r="52">
      <c r="A52" t="inlineStr">
        <is>
          <t>08</t>
        </is>
      </c>
      <c r="B52" t="inlineStr">
        <is>
          <t>08-vision-xai</t>
        </is>
      </c>
      <c r="C52" t="inlineStr">
        <is>
          <t>Recursos</t>
        </is>
      </c>
      <c r="D52" t="inlineStr">
        <is>
          <t>recurso</t>
        </is>
      </c>
      <c r="E52" t="inlineStr">
        <is>
          <t>08-vision-xai/05-recursos</t>
        </is>
      </c>
      <c r="F52" t="inlineStr">
        <is>
          <t>Pendiente</t>
        </is>
      </c>
      <c r="G52"/>
      <c r="H52"/>
      <c r="I52"/>
      <c r="J52"/>
      <c r="K52"/>
      <c r="L52"/>
      <c r="M52"/>
    </row>
    <row r="53">
      <c r="A53" t="inlineStr">
        <is>
          <t>09</t>
        </is>
      </c>
      <c r="B53" t="inlineStr">
        <is>
          <t>UD9 — GPU Avanzado</t>
        </is>
      </c>
      <c r="C53" t="inlineStr">
        <is>
          <t>Índice / presentación</t>
        </is>
      </c>
      <c r="D53" t="inlineStr">
        <is>
          <t>documentación</t>
        </is>
      </c>
      <c r="E53" t="inlineStr">
        <is>
          <t>09-gpu-avanzado/README.md</t>
        </is>
      </c>
      <c r="F53" t="inlineStr">
        <is>
          <t>Pendiente</t>
        </is>
      </c>
      <c r="G53"/>
      <c r="H53"/>
      <c r="I53"/>
      <c r="J53"/>
      <c r="K53"/>
      <c r="L53"/>
      <c r="M53"/>
    </row>
    <row r="54">
      <c r="A54" t="inlineStr">
        <is>
          <t>09</t>
        </is>
      </c>
      <c r="B54" t="inlineStr">
        <is>
          <t>UD9 — GPU Avanzado</t>
        </is>
      </c>
      <c r="C54" t="inlineStr">
        <is>
          <t>Teoría</t>
        </is>
      </c>
      <c r="D54" t="inlineStr">
        <is>
          <t>teoría</t>
        </is>
      </c>
      <c r="E54" t="inlineStr">
        <is>
          <t>09-gpu-avanzado/01-teoria</t>
        </is>
      </c>
      <c r="F54" t="inlineStr">
        <is>
          <t>Pendiente</t>
        </is>
      </c>
      <c r="G54"/>
      <c r="H54"/>
      <c r="I54"/>
      <c r="J54"/>
      <c r="K54"/>
      <c r="L54"/>
      <c r="M54"/>
    </row>
    <row r="55">
      <c r="A55" t="inlineStr">
        <is>
          <t>09</t>
        </is>
      </c>
      <c r="B55" t="inlineStr">
        <is>
          <t>UD9 — GPU Avanzado</t>
        </is>
      </c>
      <c r="C55" t="inlineStr">
        <is>
          <t>Ejemplos</t>
        </is>
      </c>
      <c r="D55" t="inlineStr">
        <is>
          <t>ejemplo</t>
        </is>
      </c>
      <c r="E55" t="inlineStr">
        <is>
          <t>09-gpu-avanzado/02-ejemplos</t>
        </is>
      </c>
      <c r="F55" t="inlineStr">
        <is>
          <t>Pendiente</t>
        </is>
      </c>
      <c r="G55"/>
      <c r="H55"/>
      <c r="I55"/>
      <c r="J55"/>
      <c r="K55"/>
      <c r="L55"/>
      <c r="M55"/>
    </row>
    <row r="56">
      <c r="A56" t="inlineStr">
        <is>
          <t>09</t>
        </is>
      </c>
      <c r="B56" t="inlineStr">
        <is>
          <t>UD9 — GPU Avanzado</t>
        </is>
      </c>
      <c r="C56" t="inlineStr">
        <is>
          <t>Prácticas</t>
        </is>
      </c>
      <c r="D56" t="inlineStr">
        <is>
          <t>práctica</t>
        </is>
      </c>
      <c r="E56" t="inlineStr">
        <is>
          <t>09-gpu-avanzado/03-practicas</t>
        </is>
      </c>
      <c r="F56" t="inlineStr">
        <is>
          <t>Pendiente</t>
        </is>
      </c>
      <c r="G56"/>
      <c r="H56"/>
      <c r="I56"/>
      <c r="J56"/>
      <c r="K56"/>
      <c r="L56"/>
      <c r="M56"/>
    </row>
    <row r="57">
      <c r="A57" t="inlineStr">
        <is>
          <t>09</t>
        </is>
      </c>
      <c r="B57" t="inlineStr">
        <is>
          <t>UD9 — GPU Avanzado</t>
        </is>
      </c>
      <c r="C57" t="inlineStr">
        <is>
          <t>Evaluación</t>
        </is>
      </c>
      <c r="D57" t="inlineStr">
        <is>
          <t>evaluación</t>
        </is>
      </c>
      <c r="E57" t="inlineStr">
        <is>
          <t>09-gpu-avanzado/04-evaluacion</t>
        </is>
      </c>
      <c r="F57" t="inlineStr">
        <is>
          <t>Pendiente</t>
        </is>
      </c>
      <c r="G57"/>
      <c r="H57"/>
      <c r="I57"/>
      <c r="J57"/>
      <c r="K57"/>
      <c r="L57"/>
      <c r="M57"/>
    </row>
    <row r="58">
      <c r="A58" t="inlineStr">
        <is>
          <t>09</t>
        </is>
      </c>
      <c r="B58" t="inlineStr">
        <is>
          <t>UD9 — GPU Avanzado</t>
        </is>
      </c>
      <c r="C58" t="inlineStr">
        <is>
          <t>Recursos</t>
        </is>
      </c>
      <c r="D58" t="inlineStr">
        <is>
          <t>recurso</t>
        </is>
      </c>
      <c r="E58" t="inlineStr">
        <is>
          <t>09-gpu-avanzado/05-recursos</t>
        </is>
      </c>
      <c r="F58" t="inlineStr">
        <is>
          <t>Pendiente</t>
        </is>
      </c>
      <c r="G58"/>
      <c r="H58"/>
      <c r="I58"/>
      <c r="J58"/>
      <c r="K58"/>
      <c r="L58"/>
      <c r="M58"/>
    </row>
    <row r="59">
      <c r="A59" t="inlineStr">
        <is>
          <t>10</t>
        </is>
      </c>
      <c r="B59" t="inlineStr">
        <is>
          <t>10-series-temporales</t>
        </is>
      </c>
      <c r="C59" t="inlineStr">
        <is>
          <t>Índice / presentación</t>
        </is>
      </c>
      <c r="D59" t="inlineStr">
        <is>
          <t>documentación</t>
        </is>
      </c>
      <c r="E59" t="inlineStr">
        <is>
          <t>10-series-temporales/README.md</t>
        </is>
      </c>
      <c r="F59" t="inlineStr">
        <is>
          <t>Pendiente</t>
        </is>
      </c>
      <c r="G59"/>
      <c r="H59"/>
      <c r="I59"/>
      <c r="J59"/>
      <c r="K59"/>
      <c r="L59"/>
      <c r="M59"/>
    </row>
    <row r="60">
      <c r="A60" t="inlineStr">
        <is>
          <t>10</t>
        </is>
      </c>
      <c r="B60" t="inlineStr">
        <is>
          <t>10-series-temporales</t>
        </is>
      </c>
      <c r="C60" t="inlineStr">
        <is>
          <t>Teoría</t>
        </is>
      </c>
      <c r="D60" t="inlineStr">
        <is>
          <t>teoría</t>
        </is>
      </c>
      <c r="E60" t="inlineStr">
        <is>
          <t>10-series-temporales/01-teoria</t>
        </is>
      </c>
      <c r="F60" t="inlineStr">
        <is>
          <t>Pendiente</t>
        </is>
      </c>
      <c r="G60"/>
      <c r="H60"/>
      <c r="I60"/>
      <c r="J60"/>
      <c r="K60"/>
      <c r="L60"/>
      <c r="M60"/>
    </row>
    <row r="61">
      <c r="A61" t="inlineStr">
        <is>
          <t>10</t>
        </is>
      </c>
      <c r="B61" t="inlineStr">
        <is>
          <t>10-series-temporales</t>
        </is>
      </c>
      <c r="C61" t="inlineStr">
        <is>
          <t>Ejemplos</t>
        </is>
      </c>
      <c r="D61" t="inlineStr">
        <is>
          <t>ejemplo</t>
        </is>
      </c>
      <c r="E61" t="inlineStr">
        <is>
          <t>10-series-temporales/02-ejemplos</t>
        </is>
      </c>
      <c r="F61" t="inlineStr">
        <is>
          <t>Pendiente</t>
        </is>
      </c>
      <c r="G61"/>
      <c r="H61"/>
      <c r="I61"/>
      <c r="J61"/>
      <c r="K61"/>
      <c r="L61"/>
      <c r="M61"/>
    </row>
    <row r="62">
      <c r="A62" t="inlineStr">
        <is>
          <t>10</t>
        </is>
      </c>
      <c r="B62" t="inlineStr">
        <is>
          <t>10-series-temporales</t>
        </is>
      </c>
      <c r="C62" t="inlineStr">
        <is>
          <t>Prácticas</t>
        </is>
      </c>
      <c r="D62" t="inlineStr">
        <is>
          <t>práctica</t>
        </is>
      </c>
      <c r="E62" t="inlineStr">
        <is>
          <t>10-series-temporales/03-practicas</t>
        </is>
      </c>
      <c r="F62" t="inlineStr">
        <is>
          <t>Pendiente</t>
        </is>
      </c>
      <c r="G62"/>
      <c r="H62"/>
      <c r="I62"/>
      <c r="J62"/>
      <c r="K62"/>
      <c r="L62"/>
      <c r="M62"/>
    </row>
    <row r="63">
      <c r="A63" t="inlineStr">
        <is>
          <t>10</t>
        </is>
      </c>
      <c r="B63" t="inlineStr">
        <is>
          <t>10-series-temporales</t>
        </is>
      </c>
      <c r="C63" t="inlineStr">
        <is>
          <t>Evaluación</t>
        </is>
      </c>
      <c r="D63" t="inlineStr">
        <is>
          <t>evaluación</t>
        </is>
      </c>
      <c r="E63" t="inlineStr">
        <is>
          <t>10-series-temporales/04-evaluacion</t>
        </is>
      </c>
      <c r="F63" t="inlineStr">
        <is>
          <t>Pendiente</t>
        </is>
      </c>
      <c r="G63"/>
      <c r="H63"/>
      <c r="I63"/>
      <c r="J63"/>
      <c r="K63"/>
      <c r="L63"/>
      <c r="M63"/>
    </row>
    <row r="64">
      <c r="A64" t="inlineStr">
        <is>
          <t>10</t>
        </is>
      </c>
      <c r="B64" t="inlineStr">
        <is>
          <t>10-series-temporales</t>
        </is>
      </c>
      <c r="C64" t="inlineStr">
        <is>
          <t>Recursos</t>
        </is>
      </c>
      <c r="D64" t="inlineStr">
        <is>
          <t>recurso</t>
        </is>
      </c>
      <c r="E64" t="inlineStr">
        <is>
          <t>10-series-temporales/05-recursos</t>
        </is>
      </c>
      <c r="F64" t="inlineStr">
        <is>
          <t>Pendiente</t>
        </is>
      </c>
      <c r="G64"/>
      <c r="H64"/>
      <c r="I64"/>
      <c r="J64"/>
      <c r="K64"/>
      <c r="L64"/>
      <c r="M64"/>
    </row>
    <row r="65">
      <c r="A65" t="inlineStr">
        <is>
          <t>11</t>
        </is>
      </c>
      <c r="B65" t="inlineStr">
        <is>
          <t>11-anexos</t>
        </is>
      </c>
      <c r="C65" t="inlineStr">
        <is>
          <t>Índice / presentación</t>
        </is>
      </c>
      <c r="D65" t="inlineStr">
        <is>
          <t>documentación</t>
        </is>
      </c>
      <c r="E65" t="inlineStr">
        <is>
          <t>11-anexos/README.md</t>
        </is>
      </c>
      <c r="F65" t="inlineStr">
        <is>
          <t>Pendiente</t>
        </is>
      </c>
      <c r="G65"/>
      <c r="H65"/>
      <c r="I65"/>
      <c r="J65"/>
      <c r="K65"/>
      <c r="L65"/>
      <c r="M65"/>
    </row>
    <row r="66">
      <c r="A66" t="inlineStr">
        <is>
          <t>11</t>
        </is>
      </c>
      <c r="B66" t="inlineStr">
        <is>
          <t>11-anexos</t>
        </is>
      </c>
      <c r="C66" t="inlineStr">
        <is>
          <t>Teoría</t>
        </is>
      </c>
      <c r="D66" t="inlineStr">
        <is>
          <t>teoría</t>
        </is>
      </c>
      <c r="E66" t="inlineStr">
        <is>
          <t>11-anexos/01-teoria</t>
        </is>
      </c>
      <c r="F66" t="inlineStr">
        <is>
          <t>Pendiente</t>
        </is>
      </c>
      <c r="G66"/>
      <c r="H66"/>
      <c r="I66"/>
      <c r="J66"/>
      <c r="K66"/>
      <c r="L66"/>
      <c r="M66"/>
    </row>
    <row r="67">
      <c r="A67" t="inlineStr">
        <is>
          <t>11</t>
        </is>
      </c>
      <c r="B67" t="inlineStr">
        <is>
          <t>11-anexos</t>
        </is>
      </c>
      <c r="C67" t="inlineStr">
        <is>
          <t>Ejemplos</t>
        </is>
      </c>
      <c r="D67" t="inlineStr">
        <is>
          <t>ejemplo</t>
        </is>
      </c>
      <c r="E67" t="inlineStr">
        <is>
          <t>11-anexos/02-ejemplos</t>
        </is>
      </c>
      <c r="F67" t="inlineStr">
        <is>
          <t>Pendiente</t>
        </is>
      </c>
      <c r="G67"/>
      <c r="H67"/>
      <c r="I67"/>
      <c r="J67"/>
      <c r="K67"/>
      <c r="L67"/>
      <c r="M67"/>
    </row>
    <row r="68">
      <c r="A68" t="inlineStr">
        <is>
          <t>11</t>
        </is>
      </c>
      <c r="B68" t="inlineStr">
        <is>
          <t>11-anexos</t>
        </is>
      </c>
      <c r="C68" t="inlineStr">
        <is>
          <t>Prácticas</t>
        </is>
      </c>
      <c r="D68" t="inlineStr">
        <is>
          <t>práctica</t>
        </is>
      </c>
      <c r="E68" t="inlineStr">
        <is>
          <t>11-anexos/03-practicas</t>
        </is>
      </c>
      <c r="F68" t="inlineStr">
        <is>
          <t>Pendiente</t>
        </is>
      </c>
      <c r="G68"/>
      <c r="H68"/>
      <c r="I68"/>
      <c r="J68"/>
      <c r="K68"/>
      <c r="L68"/>
      <c r="M68"/>
    </row>
    <row r="69">
      <c r="A69" t="inlineStr">
        <is>
          <t>11</t>
        </is>
      </c>
      <c r="B69" t="inlineStr">
        <is>
          <t>11-anexos</t>
        </is>
      </c>
      <c r="C69" t="inlineStr">
        <is>
          <t>Evaluación</t>
        </is>
      </c>
      <c r="D69" t="inlineStr">
        <is>
          <t>evaluación</t>
        </is>
      </c>
      <c r="E69" t="inlineStr">
        <is>
          <t>11-anexos/04-evaluacion</t>
        </is>
      </c>
      <c r="F69" t="inlineStr">
        <is>
          <t>Pendiente</t>
        </is>
      </c>
      <c r="G69"/>
      <c r="H69"/>
      <c r="I69"/>
      <c r="J69"/>
      <c r="K69"/>
      <c r="L69"/>
      <c r="M69"/>
    </row>
    <row r="70">
      <c r="A70" t="inlineStr">
        <is>
          <t>11</t>
        </is>
      </c>
      <c r="B70" t="inlineStr">
        <is>
          <t>11-anexos</t>
        </is>
      </c>
      <c r="C70" t="inlineStr">
        <is>
          <t>Recursos</t>
        </is>
      </c>
      <c r="D70" t="inlineStr">
        <is>
          <t>recurso</t>
        </is>
      </c>
      <c r="E70" t="inlineStr">
        <is>
          <t>11-anexos/05-recursos</t>
        </is>
      </c>
      <c r="F70" t="inlineStr">
        <is>
          <t>Pendiente</t>
        </is>
      </c>
      <c r="G70"/>
      <c r="H70"/>
      <c r="I70"/>
      <c r="J70"/>
      <c r="K70"/>
      <c r="L70"/>
      <c r="M70"/>
    </row>
    <row r="71">
      <c r="A71" t="inlineStr">
        <is>
          <t>12</t>
        </is>
      </c>
      <c r="B71" t="inlineStr">
        <is>
          <t>12-proyecto-integrado</t>
        </is>
      </c>
      <c r="C71" t="inlineStr">
        <is>
          <t>Índice / presentación</t>
        </is>
      </c>
      <c r="D71" t="inlineStr">
        <is>
          <t>documentación</t>
        </is>
      </c>
      <c r="E71" t="inlineStr">
        <is>
          <t>12-proyecto-integrado/README.md</t>
        </is>
      </c>
      <c r="F71" t="inlineStr">
        <is>
          <t>Pendiente</t>
        </is>
      </c>
      <c r="G71"/>
      <c r="H71"/>
      <c r="I71"/>
      <c r="J71"/>
      <c r="K71"/>
      <c r="L71"/>
      <c r="M71"/>
    </row>
    <row r="72">
      <c r="A72" t="inlineStr">
        <is>
          <t>12</t>
        </is>
      </c>
      <c r="B72" t="inlineStr">
        <is>
          <t>12-proyecto-integrado</t>
        </is>
      </c>
      <c r="C72" t="inlineStr">
        <is>
          <t>Teoría</t>
        </is>
      </c>
      <c r="D72" t="inlineStr">
        <is>
          <t>teoría</t>
        </is>
      </c>
      <c r="E72" t="inlineStr">
        <is>
          <t>12-proyecto-integrado/01-teoria</t>
        </is>
      </c>
      <c r="F72" t="inlineStr">
        <is>
          <t>Pendiente</t>
        </is>
      </c>
      <c r="G72"/>
      <c r="H72"/>
      <c r="I72"/>
      <c r="J72"/>
      <c r="K72"/>
      <c r="L72"/>
      <c r="M72"/>
    </row>
    <row r="73">
      <c r="A73" t="inlineStr">
        <is>
          <t>12</t>
        </is>
      </c>
      <c r="B73" t="inlineStr">
        <is>
          <t>12-proyecto-integrado</t>
        </is>
      </c>
      <c r="C73" t="inlineStr">
        <is>
          <t>Ejemplos</t>
        </is>
      </c>
      <c r="D73" t="inlineStr">
        <is>
          <t>ejemplo</t>
        </is>
      </c>
      <c r="E73" t="inlineStr">
        <is>
          <t>12-proyecto-integrado/02-ejemplos</t>
        </is>
      </c>
      <c r="F73" t="inlineStr">
        <is>
          <t>Pendiente</t>
        </is>
      </c>
      <c r="G73"/>
      <c r="H73"/>
      <c r="I73"/>
      <c r="J73"/>
      <c r="K73"/>
      <c r="L73"/>
      <c r="M73"/>
    </row>
    <row r="74">
      <c r="A74" t="inlineStr">
        <is>
          <t>12</t>
        </is>
      </c>
      <c r="B74" t="inlineStr">
        <is>
          <t>12-proyecto-integrado</t>
        </is>
      </c>
      <c r="C74" t="inlineStr">
        <is>
          <t>Prácticas</t>
        </is>
      </c>
      <c r="D74" t="inlineStr">
        <is>
          <t>práctica</t>
        </is>
      </c>
      <c r="E74" t="inlineStr">
        <is>
          <t>12-proyecto-integrado/03-practicas</t>
        </is>
      </c>
      <c r="F74" t="inlineStr">
        <is>
          <t>Pendiente</t>
        </is>
      </c>
      <c r="G74"/>
      <c r="H74"/>
      <c r="I74"/>
      <c r="J74"/>
      <c r="K74"/>
      <c r="L74"/>
      <c r="M74"/>
    </row>
    <row r="75">
      <c r="A75" t="inlineStr">
        <is>
          <t>12</t>
        </is>
      </c>
      <c r="B75" t="inlineStr">
        <is>
          <t>12-proyecto-integrado</t>
        </is>
      </c>
      <c r="C75" t="inlineStr">
        <is>
          <t>Evaluación</t>
        </is>
      </c>
      <c r="D75" t="inlineStr">
        <is>
          <t>evaluación</t>
        </is>
      </c>
      <c r="E75" t="inlineStr">
        <is>
          <t>12-proyecto-integrado/04-evaluacion</t>
        </is>
      </c>
      <c r="F75" t="inlineStr">
        <is>
          <t>Pendiente</t>
        </is>
      </c>
      <c r="G75"/>
      <c r="H75"/>
      <c r="I75"/>
      <c r="J75"/>
      <c r="K75"/>
      <c r="L75"/>
      <c r="M75"/>
    </row>
    <row r="76">
      <c r="A76" t="inlineStr">
        <is>
          <t>12</t>
        </is>
      </c>
      <c r="B76" t="inlineStr">
        <is>
          <t>12-proyecto-integrado</t>
        </is>
      </c>
      <c r="C76" t="inlineStr">
        <is>
          <t>Recursos</t>
        </is>
      </c>
      <c r="D76" t="inlineStr">
        <is>
          <t>recurso</t>
        </is>
      </c>
      <c r="E76" t="inlineStr">
        <is>
          <t>12-proyecto-integrado/05-recursos</t>
        </is>
      </c>
      <c r="F76" t="inlineStr">
        <is>
          <t>Pendiente</t>
        </is>
      </c>
      <c r="G76"/>
      <c r="H76"/>
      <c r="I76"/>
      <c r="J76"/>
      <c r="K76"/>
      <c r="L76"/>
      <c r="M76"/>
    </row>
    <row r="77">
      <c r="A77" t="inlineStr">
        <is>
          <t>90</t>
        </is>
      </c>
      <c r="B77" t="inlineStr">
        <is>
          <t>Archivo Historico</t>
        </is>
      </c>
      <c r="C77" t="inlineStr">
        <is>
          <t>UDs Old</t>
        </is>
      </c>
      <c r="D77" t="inlineStr">
        <is>
          <t>bloque</t>
        </is>
      </c>
      <c r="E77" t="inlineStr">
        <is>
          <t>90-archivo-historico/UDs_old</t>
        </is>
      </c>
      <c r="F77" t="inlineStr">
        <is>
          <t>Pendiente</t>
        </is>
      </c>
      <c r="G77"/>
      <c r="H77"/>
      <c r="I77"/>
      <c r="J77"/>
      <c r="K77"/>
      <c r="L77"/>
      <c r="M77"/>
    </row>
    <row r="78">
      <c r="A78" t="inlineStr">
        <is>
          <t>90</t>
        </is>
      </c>
      <c r="B78" t="inlineStr">
        <is>
          <t>Archivo Historico</t>
        </is>
      </c>
      <c r="C78" t="inlineStr">
        <is>
          <t>Blockchain</t>
        </is>
      </c>
      <c r="D78" t="inlineStr">
        <is>
          <t>bloque</t>
        </is>
      </c>
      <c r="E78" t="inlineStr">
        <is>
          <t>90-archivo-historico/blockchain</t>
        </is>
      </c>
      <c r="F78" t="inlineStr">
        <is>
          <t>Pendiente</t>
        </is>
      </c>
      <c r="G78"/>
      <c r="H78"/>
      <c r="I78"/>
      <c r="J78"/>
      <c r="K78"/>
      <c r="L78"/>
      <c r="M78"/>
    </row>
    <row r="79">
      <c r="A79" t="inlineStr">
        <is>
          <t>90</t>
        </is>
      </c>
      <c r="B79" t="inlineStr">
        <is>
          <t>Archivo Historico</t>
        </is>
      </c>
      <c r="C79" t="inlineStr">
        <is>
          <t>Convergencia Anterior</t>
        </is>
      </c>
      <c r="D79" t="inlineStr">
        <is>
          <t>bloque</t>
        </is>
      </c>
      <c r="E79" t="inlineStr">
        <is>
          <t>90-archivo-historico/convergencia-anterior</t>
        </is>
      </c>
      <c r="F79" t="inlineStr">
        <is>
          <t>Pendiente</t>
        </is>
      </c>
      <c r="G79"/>
      <c r="H79"/>
      <c r="I79"/>
      <c r="J79"/>
      <c r="K79"/>
      <c r="L79"/>
      <c r="M79"/>
    </row>
    <row r="80">
      <c r="A80" t="inlineStr">
        <is>
          <t>90</t>
        </is>
      </c>
      <c r="B80" t="inlineStr">
        <is>
          <t>Archivo Historico</t>
        </is>
      </c>
      <c r="C80" t="inlineStr">
        <is>
          <t>Mojo</t>
        </is>
      </c>
      <c r="D80" t="inlineStr">
        <is>
          <t>bloque</t>
        </is>
      </c>
      <c r="E80" t="inlineStr">
        <is>
          <t>90-archivo-historico/mojo</t>
        </is>
      </c>
      <c r="F80" t="inlineStr">
        <is>
          <t>Pendiente</t>
        </is>
      </c>
      <c r="G80"/>
      <c r="H80"/>
      <c r="I80"/>
      <c r="J80"/>
      <c r="K80"/>
      <c r="L80"/>
      <c r="M80"/>
    </row>
    <row r="81">
      <c r="A81" t="inlineStr">
        <is>
          <t>90</t>
        </is>
      </c>
      <c r="B81" t="inlineStr">
        <is>
          <t>Archivo Historico</t>
        </is>
      </c>
      <c r="C81" t="inlineStr">
        <is>
          <t>Neurosimbólica</t>
        </is>
      </c>
      <c r="D81" t="inlineStr">
        <is>
          <t>bloque</t>
        </is>
      </c>
      <c r="E81" t="inlineStr">
        <is>
          <t>90-archivo-historico/neurosimbólica</t>
        </is>
      </c>
      <c r="F81" t="inlineStr">
        <is>
          <t>Pendiente</t>
        </is>
      </c>
      <c r="G81"/>
      <c r="H81"/>
      <c r="I81"/>
      <c r="J81"/>
      <c r="K81"/>
      <c r="L81"/>
      <c r="M81"/>
    </row>
    <row r="82">
      <c r="A82" t="inlineStr">
        <is>
          <t>99</t>
        </is>
      </c>
      <c r="B82" t="inlineStr">
        <is>
          <t>99-sensible — Claves y datos sensibles</t>
        </is>
      </c>
      <c r="C82" t="inlineStr">
        <is>
          <t>Índice / presentación</t>
        </is>
      </c>
      <c r="D82" t="inlineStr">
        <is>
          <t>documentación</t>
        </is>
      </c>
      <c r="E82" t="inlineStr">
        <is>
          <t>99-sensible/README.md</t>
        </is>
      </c>
      <c r="F82" t="inlineStr">
        <is>
          <t>Pendiente</t>
        </is>
      </c>
      <c r="G82"/>
      <c r="H82"/>
      <c r="I82"/>
      <c r="J82"/>
      <c r="K82"/>
      <c r="L82"/>
      <c r="M82"/>
    </row>
  </sheetData>
  <autoFilter ref="A1:M82"/>
  <dataValidations count="1">
    <dataValidation type="list" allowBlank="1" showErrorMessage="1" sqref="F2:F500">
      <formula1>"Pendiente,En curso,Impartido,Reforzar,Omitido"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P280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45" customWidth="1"/>
    <col min="4" max="4" width="18" customWidth="1"/>
    <col min="5" max="5" width="65" customWidth="1"/>
    <col min="6" max="6" width="10" customWidth="1"/>
    <col min="7" max="7" width="22" customWidth="1"/>
    <col min="8" max="8" width="18" customWidth="1"/>
    <col min="9" max="9" width="16" customWidth="1"/>
    <col min="10" max="10" width="16" customWidth="1"/>
    <col min="11" max="11" width="20" customWidth="1"/>
    <col min="12" max="12" width="18" customWidth="1"/>
    <col min="13" max="13" width="22" customWidth="1"/>
    <col min="14" max="14" width="14" customWidth="1"/>
    <col min="15" max="15" width="10" customWidth="1"/>
    <col min="16" max="16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Actividad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Evalúa</t>
        </is>
      </c>
      <c r="G1" t="inlineStr" s="1">
        <is>
          <t>CE previstos</t>
        </is>
      </c>
      <c r="H1" t="inlineStr" s="1">
        <is>
          <t>Estado actividad</t>
        </is>
      </c>
      <c r="I1" t="inlineStr" s="1">
        <is>
          <t>Fecha propuesta</t>
        </is>
      </c>
      <c r="J1" t="inlineStr" s="1">
        <is>
          <t>Fecha límite</t>
        </is>
      </c>
      <c r="K1" t="inlineStr" s="1">
        <is>
          <t>Entregas esperadas</t>
        </is>
      </c>
      <c r="L1" t="inlineStr" s="1">
        <is>
          <t>Entregas recibidas</t>
        </is>
      </c>
      <c r="M1" t="inlineStr" s="1">
        <is>
          <t>Pendientes corrección</t>
        </is>
      </c>
      <c r="N1" t="inlineStr" s="1">
        <is>
          <t>Nota media CE</t>
        </is>
      </c>
      <c r="O1" t="inlineStr" s="1">
        <is>
          <t>Peso %</t>
        </is>
      </c>
      <c r="P1" t="inlineStr" s="1">
        <is>
          <t>Observaciones</t>
        </is>
      </c>
    </row>
    <row r="2">
      <c r="A2" t="inlineStr">
        <is>
          <t>01</t>
        </is>
      </c>
      <c r="B2" t="inlineStr">
        <is>
          <t>01 - Fundamentos de Python</t>
        </is>
      </c>
      <c r="C2" t="inlineStr">
        <is>
          <t>CuadernoDePracticasEstructuras</t>
        </is>
      </c>
      <c r="D2" t="inlineStr">
        <is>
          <t>notebook</t>
        </is>
      </c>
      <c r="E2" t="inlineStr">
        <is>
          <t>01-fundamentos-python/03-practicas/05_CuadernoDePracticasEstructuras.ipynb</t>
        </is>
      </c>
      <c r="F2" t="inlineStr">
        <is>
          <t>Revisar</t>
        </is>
      </c>
      <c r="G2"/>
      <c r="H2" t="inlineStr">
        <is>
          <t>Pendiente</t>
        </is>
      </c>
      <c r="I2"/>
      <c r="J2"/>
      <c r="K2"/>
      <c r="L2"/>
      <c r="M2">
        <f>IF(AND(ISNUMBER(K2),ISNUMBER(L2)),MAX(K2-L2,0),"")</f>
      </c>
      <c r="N2"/>
      <c r="O2"/>
      <c r="P2"/>
    </row>
    <row r="3">
      <c r="A3" t="inlineStr">
        <is>
          <t>01</t>
        </is>
      </c>
      <c r="B3" t="inlineStr">
        <is>
          <t>01 - Fundamentos de Python</t>
        </is>
      </c>
      <c r="C3" t="inlineStr">
        <is>
          <t>Repaso Y Ejercicios Basicos</t>
        </is>
      </c>
      <c r="D3" t="inlineStr">
        <is>
          <t>notebook</t>
        </is>
      </c>
      <c r="E3" t="inlineStr">
        <is>
          <t>01-fundamentos-python/03-practicas/05_repaso_y_ejercicios_basicos.ipynb</t>
        </is>
      </c>
      <c r="F3" t="inlineStr">
        <is>
          <t>Revisar</t>
        </is>
      </c>
      <c r="G3"/>
      <c r="H3" t="inlineStr">
        <is>
          <t>Pendiente</t>
        </is>
      </c>
      <c r="I3"/>
      <c r="J3"/>
      <c r="K3"/>
      <c r="L3"/>
      <c r="M3">
        <f>IF(AND(ISNUMBER(K3),ISNUMBER(L3)),MAX(K3-L3,0),"")</f>
      </c>
      <c r="N3"/>
      <c r="O3"/>
      <c r="P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Eda Numpy</t>
        </is>
      </c>
      <c r="D4" t="inlineStr">
        <is>
          <t>notebook</t>
        </is>
      </c>
      <c r="E4" t="inlineStr">
        <is>
          <t>01-fundamentos-python/03-practicas/09_eda_numpy.ipynb</t>
        </is>
      </c>
      <c r="F4" t="inlineStr">
        <is>
          <t>Revisar</t>
        </is>
      </c>
      <c r="G4"/>
      <c r="H4" t="inlineStr">
        <is>
          <t>Pendiente</t>
        </is>
      </c>
      <c r="I4"/>
      <c r="J4"/>
      <c r="K4"/>
      <c r="L4"/>
      <c r="M4">
        <f>IF(AND(ISNUMBER(K4),ISNUMBER(L4)),MAX(K4-L4,0),"")</f>
      </c>
      <c r="N4"/>
      <c r="O4"/>
      <c r="P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🧮 Actividad: Análisis exploratorio con NumPy</t>
        </is>
      </c>
      <c r="D5" t="inlineStr">
        <is>
          <t>guía/rúbrica</t>
        </is>
      </c>
      <c r="E5" t="inlineStr">
        <is>
          <t>01-fundamentos-python/03-practicas/09_eda_numpy.md</t>
        </is>
      </c>
      <c r="F5" t="inlineStr">
        <is>
          <t>Revisar</t>
        </is>
      </c>
      <c r="G5"/>
      <c r="H5" t="inlineStr">
        <is>
          <t>Pendiente</t>
        </is>
      </c>
      <c r="I5"/>
      <c r="J5"/>
      <c r="K5"/>
      <c r="L5"/>
      <c r="M5">
        <f>IF(AND(ISNUMBER(K5),ISNUMBER(L5)),MAX(K5-L5,0),"")</f>
      </c>
      <c r="N5"/>
      <c r="O5"/>
      <c r="P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Ejercicios Numpy Tests</t>
        </is>
      </c>
      <c r="D6" t="inlineStr">
        <is>
          <t>notebook</t>
        </is>
      </c>
      <c r="E6" t="inlineStr">
        <is>
          <t>01-fundamentos-python/03-practicas/10-ejercicios_numpy-tests.ipynb</t>
        </is>
      </c>
      <c r="F6" t="inlineStr">
        <is>
          <t>Revisar</t>
        </is>
      </c>
      <c r="G6"/>
      <c r="H6" t="inlineStr">
        <is>
          <t>Pendiente</t>
        </is>
      </c>
      <c r="I6"/>
      <c r="J6"/>
      <c r="K6"/>
      <c r="L6"/>
      <c r="M6">
        <f>IF(AND(ISNUMBER(K6),ISNUMBER(L6)),MAX(K6-L6,0),"")</f>
      </c>
      <c r="N6"/>
      <c r="O6"/>
      <c r="P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🧮 Ejercicios de práctica con NumPy (versión con tests)</t>
        </is>
      </c>
      <c r="D7" t="inlineStr">
        <is>
          <t>guía/rúbrica</t>
        </is>
      </c>
      <c r="E7" t="inlineStr">
        <is>
          <t>01-fundamentos-python/03-practicas/10-ejercicios_numpy-tests.md</t>
        </is>
      </c>
      <c r="F7" t="inlineStr">
        <is>
          <t>Revisar</t>
        </is>
      </c>
      <c r="G7"/>
      <c r="H7" t="inlineStr">
        <is>
          <t>Pendiente</t>
        </is>
      </c>
      <c r="I7"/>
      <c r="J7"/>
      <c r="K7"/>
      <c r="L7"/>
      <c r="M7">
        <f>IF(AND(ISNUMBER(K7),ISNUMBER(L7)),MAX(K7-L7,0),"")</f>
      </c>
      <c r="N7"/>
      <c r="O7"/>
      <c r="P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Ejercicios Numpy</t>
        </is>
      </c>
      <c r="D8" t="inlineStr">
        <is>
          <t>notebook</t>
        </is>
      </c>
      <c r="E8" t="inlineStr">
        <is>
          <t>01-fundamentos-python/03-practicas/10-ejercicios_numpy.ipynb</t>
        </is>
      </c>
      <c r="F8" t="inlineStr">
        <is>
          <t>Revisar</t>
        </is>
      </c>
      <c r="G8"/>
      <c r="H8" t="inlineStr">
        <is>
          <t>Pendiente</t>
        </is>
      </c>
      <c r="I8"/>
      <c r="J8"/>
      <c r="K8"/>
      <c r="L8"/>
      <c r="M8">
        <f>IF(AND(ISNUMBER(K8),ISNUMBER(L8)),MAX(K8-L8,0),"")</f>
      </c>
      <c r="N8"/>
      <c r="O8"/>
      <c r="P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🧮 Ejercicios de práctica con NumPy</t>
        </is>
      </c>
      <c r="D9" t="inlineStr">
        <is>
          <t>guía/rúbrica</t>
        </is>
      </c>
      <c r="E9" t="inlineStr">
        <is>
          <t>01-fundamentos-python/03-practicas/10-ejercicios_numpy.md</t>
        </is>
      </c>
      <c r="F9" t="inlineStr">
        <is>
          <t>Revisar</t>
        </is>
      </c>
      <c r="G9"/>
      <c r="H9" t="inlineStr">
        <is>
          <t>Pendiente</t>
        </is>
      </c>
      <c r="I9"/>
      <c r="J9"/>
      <c r="K9"/>
      <c r="L9"/>
      <c r="M9">
        <f>IF(AND(ISNUMBER(K9),ISNUMBER(L9)),MAX(K9-L9,0),"")</f>
      </c>
      <c r="N9"/>
      <c r="O9"/>
      <c r="P9"/>
    </row>
    <row r="10">
      <c r="A10" t="inlineStr">
        <is>
          <t>01</t>
        </is>
      </c>
      <c r="B10" t="inlineStr">
        <is>
          <t>01 - Fundamentos de Python</t>
        </is>
      </c>
      <c r="C10" t="inlineStr">
        <is>
          <t>Evaluación base — UD1 Fundamentos de Python</t>
        </is>
      </c>
      <c r="D10" t="inlineStr">
        <is>
          <t>guía/rúbrica</t>
        </is>
      </c>
      <c r="E10" t="inlineStr">
        <is>
          <t>01-fundamentos-python/04-evaluacion/README.md</t>
        </is>
      </c>
      <c r="F10" t="inlineStr">
        <is>
          <t>Sí</t>
        </is>
      </c>
      <c r="G10"/>
      <c r="H10" t="inlineStr">
        <is>
          <t>Pendiente</t>
        </is>
      </c>
      <c r="I10"/>
      <c r="J10"/>
      <c r="K10"/>
      <c r="L10"/>
      <c r="M10">
        <f>IF(AND(ISNUMBER(K10),ISNUMBER(L10)),MAX(K10-L10,0),"")</f>
      </c>
      <c r="N10"/>
      <c r="O10"/>
      <c r="P10"/>
    </row>
    <row r="11">
      <c r="A11" t="inlineStr">
        <is>
          <t>01</t>
        </is>
      </c>
      <c r="B11" t="inlineStr">
        <is>
          <t>01 - Fundamentos de Python</t>
        </is>
      </c>
      <c r="C11" t="inlineStr">
        <is>
          <t>Checklist de entrega — UD1</t>
        </is>
      </c>
      <c r="D11" t="inlineStr">
        <is>
          <t>guía/rúbrica</t>
        </is>
      </c>
      <c r="E11" t="inlineStr">
        <is>
          <t>01-fundamentos-python/04-evaluacion/checklist-entrega.md</t>
        </is>
      </c>
      <c r="F11" t="inlineStr">
        <is>
          <t>Sí</t>
        </is>
      </c>
      <c r="G11"/>
      <c r="H11" t="inlineStr">
        <is>
          <t>Pendiente</t>
        </is>
      </c>
      <c r="I11"/>
      <c r="J11"/>
      <c r="K11"/>
      <c r="L11"/>
      <c r="M11">
        <f>IF(AND(ISNUMBER(K11),ISNUMBER(L11)),MAX(K11-L11,0),"")</f>
      </c>
      <c r="N11"/>
      <c r="O11"/>
      <c r="P11"/>
    </row>
    <row r="12">
      <c r="A12" t="inlineStr">
        <is>
          <t>01</t>
        </is>
      </c>
      <c r="B12" t="inlineStr">
        <is>
          <t>01 - Fundamentos de Python</t>
        </is>
      </c>
      <c r="C12" t="inlineStr">
        <is>
          <t>Cuestionario Base</t>
        </is>
      </c>
      <c r="D12" t="inlineStr">
        <is>
          <t>cuestionario</t>
        </is>
      </c>
      <c r="E12" t="inlineStr">
        <is>
          <t>01-fundamentos-python/04-evaluacion/cuestionario-base.gift</t>
        </is>
      </c>
      <c r="F12" t="inlineStr">
        <is>
          <t>Sí</t>
        </is>
      </c>
      <c r="G12"/>
      <c r="H12" t="inlineStr">
        <is>
          <t>Pendiente</t>
        </is>
      </c>
      <c r="I12"/>
      <c r="J12"/>
      <c r="K12"/>
      <c r="L12"/>
      <c r="M12">
        <f>IF(AND(ISNUMBER(K12),ISNUMBER(L12)),MAX(K12-L12,0),"")</f>
      </c>
      <c r="N12"/>
      <c r="O12"/>
      <c r="P12"/>
    </row>
    <row r="13">
      <c r="A13" t="inlineStr">
        <is>
          <t>01</t>
        </is>
      </c>
      <c r="B13" t="inlineStr">
        <is>
          <t>01 - Fundamentos de Python</t>
        </is>
      </c>
      <c r="C13" t="inlineStr">
        <is>
          <t>Rúbrica base — UD1 Fundamentos de Python</t>
        </is>
      </c>
      <c r="D13" t="inlineStr">
        <is>
          <t>guía/rúbrica</t>
        </is>
      </c>
      <c r="E13" t="inlineStr">
        <is>
          <t>01-fundamentos-python/04-evaluacion/rubrica.md</t>
        </is>
      </c>
      <c r="F13" t="inlineStr">
        <is>
          <t>Sí</t>
        </is>
      </c>
      <c r="G13"/>
      <c r="H13" t="inlineStr">
        <is>
          <t>Pendiente</t>
        </is>
      </c>
      <c r="I13"/>
      <c r="J13"/>
      <c r="K13"/>
      <c r="L13"/>
      <c r="M13">
        <f>IF(AND(ISNUMBER(K13),ISNUMBER(L13)),MAX(K13-L13,0),"")</f>
      </c>
      <c r="N13"/>
      <c r="O13"/>
      <c r="P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EDA Visual Practicas</t>
        </is>
      </c>
      <c r="D14" t="inlineStr">
        <is>
          <t>notebook</t>
        </is>
      </c>
      <c r="E14" t="inlineStr">
        <is>
          <t>02-tratamiento-datos/03-practicas/EDA_Visual_Practicas.ipynb</t>
        </is>
      </c>
      <c r="F14" t="inlineStr">
        <is>
          <t>Revisar</t>
        </is>
      </c>
      <c r="G14"/>
      <c r="H14" t="inlineStr">
        <is>
          <t>Pendiente</t>
        </is>
      </c>
      <c r="I14"/>
      <c r="J14"/>
      <c r="K14"/>
      <c r="L14"/>
      <c r="M14">
        <f>IF(AND(ISNUMBER(K14),ISNUMBER(L14)),MAX(K14-L14,0),"")</f>
      </c>
      <c r="N14"/>
      <c r="O14"/>
      <c r="P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Getting Knowing Data</t>
        </is>
      </c>
      <c r="D15" t="inlineStr">
        <is>
          <t>notebook</t>
        </is>
      </c>
      <c r="E15" t="inlineStr">
        <is>
          <t>02-tratamiento-datos/03-practicas/ejercicios_seleccionados/01_Getting_Knowing_Data.ipynb</t>
        </is>
      </c>
      <c r="F15" t="inlineStr">
        <is>
          <t>Revisar</t>
        </is>
      </c>
      <c r="G15"/>
      <c r="H15" t="inlineStr">
        <is>
          <t>Pendiente</t>
        </is>
      </c>
      <c r="I15"/>
      <c r="J15"/>
      <c r="K15"/>
      <c r="L15"/>
      <c r="M15">
        <f>IF(AND(ISNUMBER(K15),ISNUMBER(L15)),MAX(K15-L15,0),"")</f>
      </c>
      <c r="N15"/>
      <c r="O15"/>
      <c r="P15"/>
    </row>
    <row r="16">
      <c r="A16" t="inlineStr">
        <is>
          <t>02</t>
        </is>
      </c>
      <c r="B16" t="inlineStr">
        <is>
          <t>02 — Tratamiento de Datos</t>
        </is>
      </c>
      <c r="C16" t="inlineStr">
        <is>
          <t>Filtering Sorting</t>
        </is>
      </c>
      <c r="D16" t="inlineStr">
        <is>
          <t>notebook</t>
        </is>
      </c>
      <c r="E16" t="inlineStr">
        <is>
          <t>02-tratamiento-datos/03-practicas/ejercicios_seleccionados/02_Filtering_Sorting.ipynb</t>
        </is>
      </c>
      <c r="F16" t="inlineStr">
        <is>
          <t>Revisar</t>
        </is>
      </c>
      <c r="G16"/>
      <c r="H16" t="inlineStr">
        <is>
          <t>Pendiente</t>
        </is>
      </c>
      <c r="I16"/>
      <c r="J16"/>
      <c r="K16"/>
      <c r="L16"/>
      <c r="M16">
        <f>IF(AND(ISNUMBER(K16),ISNUMBER(L16)),MAX(K16-L16,0),"")</f>
      </c>
      <c r="N16"/>
      <c r="O16"/>
      <c r="P16"/>
    </row>
    <row r="17">
      <c r="A17" t="inlineStr">
        <is>
          <t>02</t>
        </is>
      </c>
      <c r="B17" t="inlineStr">
        <is>
          <t>02 — Tratamiento de Datos</t>
        </is>
      </c>
      <c r="C17" t="inlineStr">
        <is>
          <t>Grouping</t>
        </is>
      </c>
      <c r="D17" t="inlineStr">
        <is>
          <t>notebook</t>
        </is>
      </c>
      <c r="E17" t="inlineStr">
        <is>
          <t>02-tratamiento-datos/03-practicas/ejercicios_seleccionados/03_Grouping.ipynb</t>
        </is>
      </c>
      <c r="F17" t="inlineStr">
        <is>
          <t>Revisar</t>
        </is>
      </c>
      <c r="G17"/>
      <c r="H17" t="inlineStr">
        <is>
          <t>Pendiente</t>
        </is>
      </c>
      <c r="I17"/>
      <c r="J17"/>
      <c r="K17"/>
      <c r="L17"/>
      <c r="M17">
        <f>IF(AND(ISNUMBER(K17),ISNUMBER(L17)),MAX(K17-L17,0),"")</f>
      </c>
      <c r="N17"/>
      <c r="O17"/>
      <c r="P17"/>
    </row>
    <row r="18">
      <c r="A18" t="inlineStr">
        <is>
          <t>02</t>
        </is>
      </c>
      <c r="B18" t="inlineStr">
        <is>
          <t>02 — Tratamiento de Datos</t>
        </is>
      </c>
      <c r="C18" t="inlineStr">
        <is>
          <t>Apply</t>
        </is>
      </c>
      <c r="D18" t="inlineStr">
        <is>
          <t>notebook</t>
        </is>
      </c>
      <c r="E18" t="inlineStr">
        <is>
          <t>02-tratamiento-datos/03-practicas/ejercicios_seleccionados/04_Apply.ipynb</t>
        </is>
      </c>
      <c r="F18" t="inlineStr">
        <is>
          <t>Revisar</t>
        </is>
      </c>
      <c r="G18"/>
      <c r="H18" t="inlineStr">
        <is>
          <t>Pendiente</t>
        </is>
      </c>
      <c r="I18"/>
      <c r="J18"/>
      <c r="K18"/>
      <c r="L18"/>
      <c r="M18">
        <f>IF(AND(ISNUMBER(K18),ISNUMBER(L18)),MAX(K18-L18,0),"")</f>
      </c>
      <c r="N18"/>
      <c r="O18"/>
      <c r="P18"/>
    </row>
    <row r="19">
      <c r="A19" t="inlineStr">
        <is>
          <t>02</t>
        </is>
      </c>
      <c r="B19" t="inlineStr">
        <is>
          <t>02 — Tratamiento de Datos</t>
        </is>
      </c>
      <c r="C19" t="inlineStr">
        <is>
          <t>Merge</t>
        </is>
      </c>
      <c r="D19" t="inlineStr">
        <is>
          <t>notebook</t>
        </is>
      </c>
      <c r="E19" t="inlineStr">
        <is>
          <t>02-tratamiento-datos/03-practicas/ejercicios_seleccionados/05_Merge.ipynb</t>
        </is>
      </c>
      <c r="F19" t="inlineStr">
        <is>
          <t>Revisar</t>
        </is>
      </c>
      <c r="G19"/>
      <c r="H19" t="inlineStr">
        <is>
          <t>Pendiente</t>
        </is>
      </c>
      <c r="I19"/>
      <c r="J19"/>
      <c r="K19"/>
      <c r="L19"/>
      <c r="M19">
        <f>IF(AND(ISNUMBER(K19),ISNUMBER(L19)),MAX(K19-L19,0),"")</f>
      </c>
      <c r="N19"/>
      <c r="O19"/>
      <c r="P19"/>
    </row>
    <row r="20">
      <c r="A20" t="inlineStr">
        <is>
          <t>02</t>
        </is>
      </c>
      <c r="B20" t="inlineStr">
        <is>
          <t>02 — Tratamiento de Datos</t>
        </is>
      </c>
      <c r="C20" t="inlineStr">
        <is>
          <t>Stats</t>
        </is>
      </c>
      <c r="D20" t="inlineStr">
        <is>
          <t>notebook</t>
        </is>
      </c>
      <c r="E20" t="inlineStr">
        <is>
          <t>02-tratamiento-datos/03-practicas/ejercicios_seleccionados/06_Stats.ipynb</t>
        </is>
      </c>
      <c r="F20" t="inlineStr">
        <is>
          <t>Revisar</t>
        </is>
      </c>
      <c r="G20"/>
      <c r="H20" t="inlineStr">
        <is>
          <t>Pendiente</t>
        </is>
      </c>
      <c r="I20"/>
      <c r="J20"/>
      <c r="K20"/>
      <c r="L20"/>
      <c r="M20">
        <f>IF(AND(ISNUMBER(K20),ISNUMBER(L20)),MAX(K20-L20,0),"")</f>
      </c>
      <c r="N20"/>
      <c r="O20"/>
      <c r="P20"/>
    </row>
    <row r="21">
      <c r="A21" t="inlineStr">
        <is>
          <t>02</t>
        </is>
      </c>
      <c r="B21" t="inlineStr">
        <is>
          <t>02 — Tratamiento de Datos</t>
        </is>
      </c>
      <c r="C21" t="inlineStr">
        <is>
          <t>Visualization</t>
        </is>
      </c>
      <c r="D21" t="inlineStr">
        <is>
          <t>notebook</t>
        </is>
      </c>
      <c r="E21" t="inlineStr">
        <is>
          <t>02-tratamiento-datos/03-practicas/ejercicios_seleccionados/07_Visualization.ipynb</t>
        </is>
      </c>
      <c r="F21" t="inlineStr">
        <is>
          <t>Revisar</t>
        </is>
      </c>
      <c r="G21"/>
      <c r="H21" t="inlineStr">
        <is>
          <t>Pendiente</t>
        </is>
      </c>
      <c r="I21"/>
      <c r="J21"/>
      <c r="K21"/>
      <c r="L21"/>
      <c r="M21">
        <f>IF(AND(ISNUMBER(K21),ISNUMBER(L21)),MAX(K21-L21,0),"")</f>
      </c>
      <c r="N21"/>
      <c r="O21"/>
      <c r="P21"/>
    </row>
    <row r="22">
      <c r="A22" t="inlineStr">
        <is>
          <t>02</t>
        </is>
      </c>
      <c r="B22" t="inlineStr">
        <is>
          <t>02 — Tratamiento de Datos</t>
        </is>
      </c>
      <c r="C22" t="inlineStr">
        <is>
          <t>Creating Data</t>
        </is>
      </c>
      <c r="D22" t="inlineStr">
        <is>
          <t>notebook</t>
        </is>
      </c>
      <c r="E22" t="inlineStr">
        <is>
          <t>02-tratamiento-datos/03-practicas/ejercicios_seleccionados/08_Creating_Data.ipynb</t>
        </is>
      </c>
      <c r="F22" t="inlineStr">
        <is>
          <t>Revisar</t>
        </is>
      </c>
      <c r="G22"/>
      <c r="H22" t="inlineStr">
        <is>
          <t>Pendiente</t>
        </is>
      </c>
      <c r="I22"/>
      <c r="J22"/>
      <c r="K22"/>
      <c r="L22"/>
      <c r="M22">
        <f>IF(AND(ISNUMBER(K22),ISNUMBER(L22)),MAX(K22-L22,0),"")</f>
      </c>
      <c r="N22"/>
      <c r="O22"/>
      <c r="P22"/>
    </row>
    <row r="23">
      <c r="A23" t="inlineStr">
        <is>
          <t>02</t>
        </is>
      </c>
      <c r="B23" t="inlineStr">
        <is>
          <t>02 — Tratamiento de Datos</t>
        </is>
      </c>
      <c r="C23" t="inlineStr">
        <is>
          <t>Time Series</t>
        </is>
      </c>
      <c r="D23" t="inlineStr">
        <is>
          <t>notebook</t>
        </is>
      </c>
      <c r="E23" t="inlineStr">
        <is>
          <t>02-tratamiento-datos/03-practicas/ejercicios_seleccionados/09_Time_Series.ipynb</t>
        </is>
      </c>
      <c r="F23" t="inlineStr">
        <is>
          <t>Revisar</t>
        </is>
      </c>
      <c r="G23"/>
      <c r="H23" t="inlineStr">
        <is>
          <t>Pendiente</t>
        </is>
      </c>
      <c r="I23"/>
      <c r="J23"/>
      <c r="K23"/>
      <c r="L23"/>
      <c r="M23">
        <f>IF(AND(ISNUMBER(K23),ISNUMBER(L23)),MAX(K23-L23,0),"")</f>
      </c>
      <c r="N23"/>
      <c r="O23"/>
      <c r="P23"/>
    </row>
    <row r="24">
      <c r="A24" t="inlineStr">
        <is>
          <t>02</t>
        </is>
      </c>
      <c r="B24" t="inlineStr">
        <is>
          <t>02 — Tratamiento de Datos</t>
        </is>
      </c>
      <c r="C24" t="inlineStr">
        <is>
          <t>Deleting Indexing</t>
        </is>
      </c>
      <c r="D24" t="inlineStr">
        <is>
          <t>notebook</t>
        </is>
      </c>
      <c r="E24" t="inlineStr">
        <is>
          <t>02-tratamiento-datos/03-practicas/ejercicios_seleccionados/10_Deleting_Indexing.ipynb</t>
        </is>
      </c>
      <c r="F24" t="inlineStr">
        <is>
          <t>Revisar</t>
        </is>
      </c>
      <c r="G24"/>
      <c r="H24" t="inlineStr">
        <is>
          <t>Pendiente</t>
        </is>
      </c>
      <c r="I24"/>
      <c r="J24"/>
      <c r="K24"/>
      <c r="L24"/>
      <c r="M24">
        <f>IF(AND(ISNUMBER(K24),ISNUMBER(L24)),MAX(K24-L24,0),"")</f>
      </c>
      <c r="N24"/>
      <c r="O24"/>
      <c r="P24"/>
    </row>
    <row r="25">
      <c r="A25" t="inlineStr">
        <is>
          <t>02</t>
        </is>
      </c>
      <c r="B25" t="inlineStr">
        <is>
          <t>02 — Tratamiento de Datos</t>
        </is>
      </c>
      <c r="C25" t="inlineStr">
        <is>
          <t>Generar Todos</t>
        </is>
      </c>
      <c r="D25" t="inlineStr">
        <is>
          <t>script</t>
        </is>
      </c>
      <c r="E25" t="inlineStr">
        <is>
          <t>02-tratamiento-datos/03-practicas/ejercicios_seleccionados/generar_todos.py</t>
        </is>
      </c>
      <c r="F25" t="inlineStr">
        <is>
          <t>Revisar</t>
        </is>
      </c>
      <c r="G25"/>
      <c r="H25" t="inlineStr">
        <is>
          <t>Pendiente</t>
        </is>
      </c>
      <c r="I25"/>
      <c r="J25"/>
      <c r="K25"/>
      <c r="L25"/>
      <c r="M25">
        <f>IF(AND(ISNUMBER(K25),ISNUMBER(L25)),MAX(K25-L25,0),"")</f>
      </c>
      <c r="N25"/>
      <c r="O25"/>
      <c r="P25"/>
    </row>
    <row r="26">
      <c r="A26" t="inlineStr">
        <is>
          <t>02</t>
        </is>
      </c>
      <c r="B26" t="inlineStr">
        <is>
          <t>02 — Tratamiento de Datos</t>
        </is>
      </c>
      <c r="C26" t="inlineStr">
        <is>
          <t>🧩 **Chuleta R para estudiantes que vienen de Python (Pandas → dplyr)**</t>
        </is>
      </c>
      <c r="D26" t="inlineStr">
        <is>
          <t>guía/rúbrica</t>
        </is>
      </c>
      <c r="E26" t="inlineStr">
        <is>
          <t>02-tratamiento-datos/03-practicas/r_exercises_titanic_with_tests/00D-Chuleta-R.md</t>
        </is>
      </c>
      <c r="F26" t="inlineStr">
        <is>
          <t>Revisar</t>
        </is>
      </c>
      <c r="G26"/>
      <c r="H26" t="inlineStr">
        <is>
          <t>Pendiente</t>
        </is>
      </c>
      <c r="I26"/>
      <c r="J26"/>
      <c r="K26"/>
      <c r="L26"/>
      <c r="M26">
        <f>IF(AND(ISNUMBER(K26),ISNUMBER(L26)),MAX(K26-L26,0),"")</f>
      </c>
      <c r="N26"/>
      <c r="O26"/>
      <c r="P26"/>
    </row>
    <row r="27">
      <c r="A27" t="inlineStr">
        <is>
          <t>02</t>
        </is>
      </c>
      <c r="B27" t="inlineStr">
        <is>
          <t>02 — Tratamiento de Datos</t>
        </is>
      </c>
      <c r="C27" t="inlineStr">
        <is>
          <t>Intro R Alumnos</t>
        </is>
      </c>
      <c r="D27" t="inlineStr">
        <is>
          <t>R Markdown</t>
        </is>
      </c>
      <c r="E27" t="inlineStr">
        <is>
          <t>02-tratamiento-datos/03-practicas/r_exercises_titanic_with_tests/00_Intro_R_alumnos.Rmd</t>
        </is>
      </c>
      <c r="F27" t="inlineStr">
        <is>
          <t>Revisar</t>
        </is>
      </c>
      <c r="G27"/>
      <c r="H27" t="inlineStr">
        <is>
          <t>Pendiente</t>
        </is>
      </c>
      <c r="I27"/>
      <c r="J27"/>
      <c r="K27"/>
      <c r="L27"/>
      <c r="M27">
        <f>IF(AND(ISNUMBER(K27),ISNUMBER(L27)),MAX(K27-L27,0),"")</f>
      </c>
      <c r="N27"/>
      <c r="O27"/>
      <c r="P27"/>
    </row>
    <row r="28">
      <c r="A28" t="inlineStr">
        <is>
          <t>02</t>
        </is>
      </c>
      <c r="B28" t="inlineStr">
        <is>
          <t>02 — Tratamiento de Datos</t>
        </is>
      </c>
      <c r="C28" t="inlineStr">
        <is>
          <t>Preparación del entorno R</t>
        </is>
      </c>
      <c r="D28" t="inlineStr">
        <is>
          <t>guía/rúbrica</t>
        </is>
      </c>
      <c r="E28" t="inlineStr">
        <is>
          <t>02-tratamiento-datos/03-practicas/r_exercises_titanic_with_tests/00_instalacion_y_entorno_R.md</t>
        </is>
      </c>
      <c r="F28" t="inlineStr">
        <is>
          <t>Revisar</t>
        </is>
      </c>
      <c r="G28"/>
      <c r="H28" t="inlineStr">
        <is>
          <t>Pendiente</t>
        </is>
      </c>
      <c r="I28"/>
      <c r="J28"/>
      <c r="K28"/>
      <c r="L28"/>
      <c r="M28">
        <f>IF(AND(ISNUMBER(K28),ISNUMBER(L28)),MAX(K28-L28,0),"")</f>
      </c>
      <c r="N28"/>
      <c r="O28"/>
      <c r="P28"/>
    </row>
    <row r="29">
      <c r="A29" t="inlineStr">
        <is>
          <t>02</t>
        </is>
      </c>
      <c r="B29" t="inlineStr">
        <is>
          <t>02 — Tratamiento de Datos</t>
        </is>
      </c>
      <c r="C29" t="inlineStr">
        <is>
          <t>Filter Index R Alumnos</t>
        </is>
      </c>
      <c r="D29" t="inlineStr">
        <is>
          <t>R Markdown</t>
        </is>
      </c>
      <c r="E29" t="inlineStr">
        <is>
          <t>02-tratamiento-datos/03-practicas/r_exercises_titanic_with_tests/01_Filter_Index_R_alumnos.Rmd</t>
        </is>
      </c>
      <c r="F29" t="inlineStr">
        <is>
          <t>Revisar</t>
        </is>
      </c>
      <c r="G29"/>
      <c r="H29" t="inlineStr">
        <is>
          <t>Pendiente</t>
        </is>
      </c>
      <c r="I29"/>
      <c r="J29"/>
      <c r="K29"/>
      <c r="L29"/>
      <c r="M29">
        <f>IF(AND(ISNUMBER(K29),ISNUMBER(L29)),MAX(K29-L29,0),"")</f>
      </c>
      <c r="N29"/>
      <c r="O29"/>
      <c r="P29"/>
    </row>
    <row r="30">
      <c r="A30" t="inlineStr">
        <is>
          <t>02</t>
        </is>
      </c>
      <c r="B30" t="inlineStr">
        <is>
          <t>02 — Tratamiento de Datos</t>
        </is>
      </c>
      <c r="C30" t="inlineStr">
        <is>
          <t>GroupApply R Alumnos</t>
        </is>
      </c>
      <c r="D30" t="inlineStr">
        <is>
          <t>R Markdown</t>
        </is>
      </c>
      <c r="E30" t="inlineStr">
        <is>
          <t>02-tratamiento-datos/03-practicas/r_exercises_titanic_with_tests/02_GroupApply_R_alumnos.Rmd</t>
        </is>
      </c>
      <c r="F30" t="inlineStr">
        <is>
          <t>Revisar</t>
        </is>
      </c>
      <c r="G30"/>
      <c r="H30" t="inlineStr">
        <is>
          <t>Pendiente</t>
        </is>
      </c>
      <c r="I30"/>
      <c r="J30"/>
      <c r="K30"/>
      <c r="L30"/>
      <c r="M30">
        <f>IF(AND(ISNUMBER(K30),ISNUMBER(L30)),MAX(K30-L30,0),"")</f>
      </c>
      <c r="N30"/>
      <c r="O30"/>
      <c r="P30"/>
    </row>
    <row r="31">
      <c r="A31" t="inlineStr">
        <is>
          <t>02</t>
        </is>
      </c>
      <c r="B31" t="inlineStr">
        <is>
          <t>02 — Tratamiento de Datos</t>
        </is>
      </c>
      <c r="C31" t="inlineStr">
        <is>
          <t>Merge R Alumnos</t>
        </is>
      </c>
      <c r="D31" t="inlineStr">
        <is>
          <t>R Markdown</t>
        </is>
      </c>
      <c r="E31" t="inlineStr">
        <is>
          <t>02-tratamiento-datos/03-practicas/r_exercises_titanic_with_tests/03_Merge_R_alumnos.Rmd</t>
        </is>
      </c>
      <c r="F31" t="inlineStr">
        <is>
          <t>Revisar</t>
        </is>
      </c>
      <c r="G31"/>
      <c r="H31" t="inlineStr">
        <is>
          <t>Pendiente</t>
        </is>
      </c>
      <c r="I31"/>
      <c r="J31"/>
      <c r="K31"/>
      <c r="L31"/>
      <c r="M31">
        <f>IF(AND(ISNUMBER(K31),ISNUMBER(L31)),MAX(K31-L31,0),"")</f>
      </c>
      <c r="N31"/>
      <c r="O31"/>
      <c r="P31"/>
    </row>
    <row r="32">
      <c r="A32" t="inlineStr">
        <is>
          <t>02</t>
        </is>
      </c>
      <c r="B32" t="inlineStr">
        <is>
          <t>02 — Tratamiento de Datos</t>
        </is>
      </c>
      <c r="C32" t="inlineStr">
        <is>
          <t>TimeSeries R Alumnos</t>
        </is>
      </c>
      <c r="D32" t="inlineStr">
        <is>
          <t>R Markdown</t>
        </is>
      </c>
      <c r="E32" t="inlineStr">
        <is>
          <t>02-tratamiento-datos/03-practicas/r_exercises_titanic_with_tests/04_TimeSeries_R_alumnos.Rmd</t>
        </is>
      </c>
      <c r="F32" t="inlineStr">
        <is>
          <t>Revisar</t>
        </is>
      </c>
      <c r="G32"/>
      <c r="H32" t="inlineStr">
        <is>
          <t>Pendiente</t>
        </is>
      </c>
      <c r="I32"/>
      <c r="J32"/>
      <c r="K32"/>
      <c r="L32"/>
      <c r="M32">
        <f>IF(AND(ISNUMBER(K32),ISNUMBER(L32)),MAX(K32-L32,0),"")</f>
      </c>
      <c r="N32"/>
      <c r="O32"/>
      <c r="P32"/>
    </row>
    <row r="33">
      <c r="A33" t="inlineStr">
        <is>
          <t>02</t>
        </is>
      </c>
      <c r="B33" t="inlineStr">
        <is>
          <t>02 — Tratamiento de Datos</t>
        </is>
      </c>
      <c r="C33" t="inlineStr">
        <is>
          <t>Visualization R Alumnos</t>
        </is>
      </c>
      <c r="D33" t="inlineStr">
        <is>
          <t>R Markdown</t>
        </is>
      </c>
      <c r="E33" t="inlineStr">
        <is>
          <t>02-tratamiento-datos/03-practicas/r_exercises_titanic_with_tests/05_Visualization_R_alumnos.Rmd</t>
        </is>
      </c>
      <c r="F33" t="inlineStr">
        <is>
          <t>Revisar</t>
        </is>
      </c>
      <c r="G33"/>
      <c r="H33" t="inlineStr">
        <is>
          <t>Pendiente</t>
        </is>
      </c>
      <c r="I33"/>
      <c r="J33"/>
      <c r="K33"/>
      <c r="L33"/>
      <c r="M33">
        <f>IF(AND(ISNUMBER(K33),ISNUMBER(L33)),MAX(K33-L33,0),"")</f>
      </c>
      <c r="N33"/>
      <c r="O33"/>
      <c r="P33"/>
    </row>
    <row r="34">
      <c r="A34" t="inlineStr">
        <is>
          <t>02</t>
        </is>
      </c>
      <c r="B34" t="inlineStr">
        <is>
          <t>02 — Tratamiento de Datos</t>
        </is>
      </c>
      <c r="C34" t="inlineStr">
        <is>
          <t>Comparativa operativa — Pandas ↔ dplyr</t>
        </is>
      </c>
      <c r="D34" t="inlineStr">
        <is>
          <t>guía/rúbrica</t>
        </is>
      </c>
      <c r="E34" t="inlineStr">
        <is>
          <t>02-tratamiento-datos/03-practicas/r_exercises_titanic_with_tests/06_comparativa_pandas_dplyr.md</t>
        </is>
      </c>
      <c r="F34" t="inlineStr">
        <is>
          <t>Revisar</t>
        </is>
      </c>
      <c r="G34"/>
      <c r="H34" t="inlineStr">
        <is>
          <t>Pendiente</t>
        </is>
      </c>
      <c r="I34"/>
      <c r="J34"/>
      <c r="K34"/>
      <c r="L34"/>
      <c r="M34">
        <f>IF(AND(ISNUMBER(K34),ISNUMBER(L34)),MAX(K34-L34,0),"")</f>
      </c>
      <c r="N34"/>
      <c r="O34"/>
      <c r="P34"/>
    </row>
    <row r="35">
      <c r="A35" t="inlineStr">
        <is>
          <t>02</t>
        </is>
      </c>
      <c r="B35" t="inlineStr">
        <is>
          <t>02 — Tratamiento de Datos</t>
        </is>
      </c>
      <c r="C35" t="inlineStr">
        <is>
          <t>Entrega — Itinerario opcional R</t>
        </is>
      </c>
      <c r="D35" t="inlineStr">
        <is>
          <t>guía/rúbrica</t>
        </is>
      </c>
      <c r="E35" t="inlineStr">
        <is>
          <t>02-tratamiento-datos/03-practicas/r_exercises_titanic_with_tests/07_entrega_itinerario_R.md</t>
        </is>
      </c>
      <c r="F35" t="inlineStr">
        <is>
          <t>Revisar</t>
        </is>
      </c>
      <c r="G35"/>
      <c r="H35" t="inlineStr">
        <is>
          <t>Pendiente</t>
        </is>
      </c>
      <c r="I35"/>
      <c r="J35"/>
      <c r="K35"/>
      <c r="L35"/>
      <c r="M35">
        <f>IF(AND(ISNUMBER(K35),ISNUMBER(L35)),MAX(K35-L35,0),"")</f>
      </c>
      <c r="N35"/>
      <c r="O35"/>
      <c r="P35"/>
    </row>
    <row r="36">
      <c r="A36" t="inlineStr">
        <is>
          <t>02</t>
        </is>
      </c>
      <c r="B36" t="inlineStr">
        <is>
          <t>02 — Tratamiento de Datos</t>
        </is>
      </c>
      <c r="C36" t="inlineStr">
        <is>
          <t>Evaluación base — UD2 Tratamiento de datos</t>
        </is>
      </c>
      <c r="D36" t="inlineStr">
        <is>
          <t>guía/rúbrica</t>
        </is>
      </c>
      <c r="E36" t="inlineStr">
        <is>
          <t>02-tratamiento-datos/04-evaluacion/README.md</t>
        </is>
      </c>
      <c r="F36" t="inlineStr">
        <is>
          <t>Sí</t>
        </is>
      </c>
      <c r="G36"/>
      <c r="H36" t="inlineStr">
        <is>
          <t>Pendiente</t>
        </is>
      </c>
      <c r="I36"/>
      <c r="J36"/>
      <c r="K36"/>
      <c r="L36"/>
      <c r="M36">
        <f>IF(AND(ISNUMBER(K36),ISNUMBER(L36)),MAX(K36-L36,0),"")</f>
      </c>
      <c r="N36"/>
      <c r="O36"/>
      <c r="P36"/>
    </row>
    <row r="37">
      <c r="A37" t="inlineStr">
        <is>
          <t>02</t>
        </is>
      </c>
      <c r="B37" t="inlineStr">
        <is>
          <t>02 — Tratamiento de Datos</t>
        </is>
      </c>
      <c r="C37" t="inlineStr">
        <is>
          <t>Checklist de entrega — UD2</t>
        </is>
      </c>
      <c r="D37" t="inlineStr">
        <is>
          <t>guía/rúbrica</t>
        </is>
      </c>
      <c r="E37" t="inlineStr">
        <is>
          <t>02-tratamiento-datos/04-evaluacion/checklist-entrega.md</t>
        </is>
      </c>
      <c r="F37" t="inlineStr">
        <is>
          <t>Sí</t>
        </is>
      </c>
      <c r="G37"/>
      <c r="H37" t="inlineStr">
        <is>
          <t>Pendiente</t>
        </is>
      </c>
      <c r="I37"/>
      <c r="J37"/>
      <c r="K37"/>
      <c r="L37"/>
      <c r="M37">
        <f>IF(AND(ISNUMBER(K37),ISNUMBER(L37)),MAX(K37-L37,0),"")</f>
      </c>
      <c r="N37"/>
      <c r="O37"/>
      <c r="P37"/>
    </row>
    <row r="38">
      <c r="A38" t="inlineStr">
        <is>
          <t>02</t>
        </is>
      </c>
      <c r="B38" t="inlineStr">
        <is>
          <t>02 — Tratamiento de Datos</t>
        </is>
      </c>
      <c r="C38" t="inlineStr">
        <is>
          <t>Cuestionario Base</t>
        </is>
      </c>
      <c r="D38" t="inlineStr">
        <is>
          <t>cuestionario</t>
        </is>
      </c>
      <c r="E38" t="inlineStr">
        <is>
          <t>02-tratamiento-datos/04-evaluacion/cuestionario-base.gift</t>
        </is>
      </c>
      <c r="F38" t="inlineStr">
        <is>
          <t>Sí</t>
        </is>
      </c>
      <c r="G38"/>
      <c r="H38" t="inlineStr">
        <is>
          <t>Pendiente</t>
        </is>
      </c>
      <c r="I38"/>
      <c r="J38"/>
      <c r="K38"/>
      <c r="L38"/>
      <c r="M38">
        <f>IF(AND(ISNUMBER(K38),ISNUMBER(L38)),MAX(K38-L38,0),"")</f>
      </c>
      <c r="N38"/>
      <c r="O38"/>
      <c r="P38"/>
    </row>
    <row r="39">
      <c r="A39" t="inlineStr">
        <is>
          <t>02</t>
        </is>
      </c>
      <c r="B39" t="inlineStr">
        <is>
          <t>02 — Tratamiento de Datos</t>
        </is>
      </c>
      <c r="C39" t="inlineStr">
        <is>
          <t>Rúbrica — Itinerario opcional R</t>
        </is>
      </c>
      <c r="D39" t="inlineStr">
        <is>
          <t>guía/rúbrica</t>
        </is>
      </c>
      <c r="E39" t="inlineStr">
        <is>
          <t>02-tratamiento-datos/04-evaluacion/rubrica-itinerario-r.md</t>
        </is>
      </c>
      <c r="F39" t="inlineStr">
        <is>
          <t>Sí</t>
        </is>
      </c>
      <c r="G39"/>
      <c r="H39" t="inlineStr">
        <is>
          <t>Pendiente</t>
        </is>
      </c>
      <c r="I39"/>
      <c r="J39"/>
      <c r="K39"/>
      <c r="L39"/>
      <c r="M39">
        <f>IF(AND(ISNUMBER(K39),ISNUMBER(L39)),MAX(K39-L39,0),"")</f>
      </c>
      <c r="N39"/>
      <c r="O39"/>
      <c r="P39"/>
    </row>
    <row r="40">
      <c r="A40" t="inlineStr">
        <is>
          <t>02</t>
        </is>
      </c>
      <c r="B40" t="inlineStr">
        <is>
          <t>02 — Tratamiento de Datos</t>
        </is>
      </c>
      <c r="C40" t="inlineStr">
        <is>
          <t>Rúbrica base — UD2 Tratamiento de datos</t>
        </is>
      </c>
      <c r="D40" t="inlineStr">
        <is>
          <t>guía/rúbrica</t>
        </is>
      </c>
      <c r="E40" t="inlineStr">
        <is>
          <t>02-tratamiento-datos/04-evaluacion/rubrica.md</t>
        </is>
      </c>
      <c r="F40" t="inlineStr">
        <is>
          <t>Sí</t>
        </is>
      </c>
      <c r="G40"/>
      <c r="H40" t="inlineStr">
        <is>
          <t>Pendiente</t>
        </is>
      </c>
      <c r="I40"/>
      <c r="J40"/>
      <c r="K40"/>
      <c r="L40"/>
      <c r="M40">
        <f>IF(AND(ISNUMBER(K40),ISNUMBER(L40)),MAX(K40-L40,0),"")</f>
      </c>
      <c r="N40"/>
      <c r="O40"/>
      <c r="P40"/>
    </row>
    <row r="41">
      <c r="A41" t="inlineStr">
        <is>
          <t>03</t>
        </is>
      </c>
      <c r="B41" t="inlineStr">
        <is>
          <t>03 - Machine Learning</t>
        </is>
      </c>
      <c r="C41" t="inlineStr">
        <is>
          <t>EDA Todos Los Pasos</t>
        </is>
      </c>
      <c r="D41" t="inlineStr">
        <is>
          <t>guía/rúbrica</t>
        </is>
      </c>
      <c r="E41" t="inlineStr">
        <is>
          <t>03-machine-learning/03-practicas/actividades/00-EDA-todos-los-Pasos.md</t>
        </is>
      </c>
      <c r="F41" t="inlineStr">
        <is>
          <t>Revisar</t>
        </is>
      </c>
      <c r="G41"/>
      <c r="H41" t="inlineStr">
        <is>
          <t>Pendiente</t>
        </is>
      </c>
      <c r="I41"/>
      <c r="J41"/>
      <c r="K41"/>
      <c r="L41"/>
      <c r="M41">
        <f>IF(AND(ISNUMBER(K41),ISNUMBER(L41)),MAX(K41-L41,0),"")</f>
      </c>
      <c r="N41"/>
      <c r="O41"/>
      <c r="P41"/>
    </row>
    <row r="42">
      <c r="A42" t="inlineStr">
        <is>
          <t>03</t>
        </is>
      </c>
      <c r="B42" t="inlineStr">
        <is>
          <t>03 - Machine Learning</t>
        </is>
      </c>
      <c r="C42" t="inlineStr">
        <is>
          <t>EDA AmesHousing Regression</t>
        </is>
      </c>
      <c r="D42" t="inlineStr">
        <is>
          <t>notebook</t>
        </is>
      </c>
      <c r="E42" t="inlineStr">
        <is>
          <t>03-machine-learning/03-practicas/actividades/EDA-AmesHousing-Regression.ipynb</t>
        </is>
      </c>
      <c r="F42" t="inlineStr">
        <is>
          <t>Revisar</t>
        </is>
      </c>
      <c r="G42"/>
      <c r="H42" t="inlineStr">
        <is>
          <t>Pendiente</t>
        </is>
      </c>
      <c r="I42"/>
      <c r="J42"/>
      <c r="K42"/>
      <c r="L42"/>
      <c r="M42">
        <f>IF(AND(ISNUMBER(K42),ISNUMBER(L42)),MAX(K42-L42,0),"")</f>
      </c>
      <c r="N42"/>
      <c r="O42"/>
      <c r="P42"/>
    </row>
    <row r="43">
      <c r="A43" t="inlineStr">
        <is>
          <t>03</t>
        </is>
      </c>
      <c r="B43" t="inlineStr">
        <is>
          <t>03 - Machine Learning</t>
        </is>
      </c>
      <c r="C43" t="inlineStr">
        <is>
          <t>EDA California Regression</t>
        </is>
      </c>
      <c r="D43" t="inlineStr">
        <is>
          <t>notebook</t>
        </is>
      </c>
      <c r="E43" t="inlineStr">
        <is>
          <t>03-machine-learning/03-practicas/actividades/EDA-California-Regression.ipynb</t>
        </is>
      </c>
      <c r="F43" t="inlineStr">
        <is>
          <t>Revisar</t>
        </is>
      </c>
      <c r="G43"/>
      <c r="H43" t="inlineStr">
        <is>
          <t>Pendiente</t>
        </is>
      </c>
      <c r="I43"/>
      <c r="J43"/>
      <c r="K43"/>
      <c r="L43"/>
      <c r="M43">
        <f>IF(AND(ISNUMBER(K43),ISNUMBER(L43)),MAX(K43-L43,0),"")</f>
      </c>
      <c r="N43"/>
      <c r="O43"/>
      <c r="P43"/>
    </row>
    <row r="44">
      <c r="A44" t="inlineStr">
        <is>
          <t>03</t>
        </is>
      </c>
      <c r="B44" t="inlineStr">
        <is>
          <t>03 - Machine Learning</t>
        </is>
      </c>
      <c r="C44" t="inlineStr">
        <is>
          <t>EDA Titanic Clasificacion RAPIDS</t>
        </is>
      </c>
      <c r="D44" t="inlineStr">
        <is>
          <t>notebook</t>
        </is>
      </c>
      <c r="E44" t="inlineStr">
        <is>
          <t>03-machine-learning/03-practicas/actividades/EDA-Titanic-Clasificacion-RAPIDS.ipynb</t>
        </is>
      </c>
      <c r="F44" t="inlineStr">
        <is>
          <t>Revisar</t>
        </is>
      </c>
      <c r="G44"/>
      <c r="H44" t="inlineStr">
        <is>
          <t>Pendiente</t>
        </is>
      </c>
      <c r="I44"/>
      <c r="J44"/>
      <c r="K44"/>
      <c r="L44"/>
      <c r="M44">
        <f>IF(AND(ISNUMBER(K44),ISNUMBER(L44)),MAX(K44-L44,0),"")</f>
      </c>
      <c r="N44"/>
      <c r="O44"/>
      <c r="P44"/>
    </row>
    <row r="45">
      <c r="A45" t="inlineStr">
        <is>
          <t>03</t>
        </is>
      </c>
      <c r="B45" t="inlineStr">
        <is>
          <t>03 - Machine Learning</t>
        </is>
      </c>
      <c r="C45" t="inlineStr">
        <is>
          <t>EDA Titanic Clasificacion</t>
        </is>
      </c>
      <c r="D45" t="inlineStr">
        <is>
          <t>notebook</t>
        </is>
      </c>
      <c r="E45" t="inlineStr">
        <is>
          <t>03-machine-learning/03-practicas/actividades/EDA-Titanic-Clasificacion.ipynb</t>
        </is>
      </c>
      <c r="F45" t="inlineStr">
        <is>
          <t>Revisar</t>
        </is>
      </c>
      <c r="G45"/>
      <c r="H45" t="inlineStr">
        <is>
          <t>Pendiente</t>
        </is>
      </c>
      <c r="I45"/>
      <c r="J45"/>
      <c r="K45"/>
      <c r="L45"/>
      <c r="M45">
        <f>IF(AND(ISNUMBER(K45),ISNUMBER(L45)),MAX(K45-L45,0),"")</f>
      </c>
      <c r="N45"/>
      <c r="O45"/>
      <c r="P45"/>
    </row>
    <row r="46">
      <c r="A46" t="inlineStr">
        <is>
          <t>03</t>
        </is>
      </c>
      <c r="B46" t="inlineStr">
        <is>
          <t>03 - Machine Learning</t>
        </is>
      </c>
      <c r="C46" t="inlineStr">
        <is>
          <t>Análisis Exploratorio de Datos (EDA) -- Titanic Dataset</t>
        </is>
      </c>
      <c r="D46" t="inlineStr">
        <is>
          <t>guía/rúbrica</t>
        </is>
      </c>
      <c r="E46" t="inlineStr">
        <is>
          <t>03-machine-learning/03-practicas/actividades/EDA_to_Classification-Titanic.md</t>
        </is>
      </c>
      <c r="F46" t="inlineStr">
        <is>
          <t>Revisar</t>
        </is>
      </c>
      <c r="G46"/>
      <c r="H46" t="inlineStr">
        <is>
          <t>Pendiente</t>
        </is>
      </c>
      <c r="I46"/>
      <c r="J46"/>
      <c r="K46"/>
      <c r="L46"/>
      <c r="M46">
        <f>IF(AND(ISNUMBER(K46),ISNUMBER(L46)),MAX(K46-L46,0),"")</f>
      </c>
      <c r="N46"/>
      <c r="O46"/>
      <c r="P46"/>
    </row>
    <row r="47">
      <c r="A47" t="inlineStr">
        <is>
          <t>03</t>
        </is>
      </c>
      <c r="B47" t="inlineStr">
        <is>
          <t>03 - Machine Learning</t>
        </is>
      </c>
      <c r="C47" t="inlineStr">
        <is>
          <t>Análisis Exploratorio de Datos (EDA) – Titanic Dataset</t>
        </is>
      </c>
      <c r="D47" t="inlineStr">
        <is>
          <t>guía/rúbrica</t>
        </is>
      </c>
      <c r="E47" t="inlineStr">
        <is>
          <t>03-machine-learning/03-practicas/actividades/UD2_EDA_Clasificacion_Titanic.md</t>
        </is>
      </c>
      <c r="F47" t="inlineStr">
        <is>
          <t>Revisar</t>
        </is>
      </c>
      <c r="G47"/>
      <c r="H47" t="inlineStr">
        <is>
          <t>Pendiente</t>
        </is>
      </c>
      <c r="I47"/>
      <c r="J47"/>
      <c r="K47"/>
      <c r="L47"/>
      <c r="M47">
        <f>IF(AND(ISNUMBER(K47),ISNUMBER(L47)),MAX(K47-L47,0),"")</f>
      </c>
      <c r="N47"/>
      <c r="O47"/>
      <c r="P47"/>
    </row>
    <row r="48">
      <c r="A48" t="inlineStr">
        <is>
          <t>03</t>
        </is>
      </c>
      <c r="B48" t="inlineStr">
        <is>
          <t>03 - Machine Learning</t>
        </is>
      </c>
      <c r="C48" t="inlineStr">
        <is>
          <t>Análisis Exploratorio de Datos (EDA) – Ames Housing (Regresión)</t>
        </is>
      </c>
      <c r="D48" t="inlineStr">
        <is>
          <t>guía/rúbrica</t>
        </is>
      </c>
      <c r="E48" t="inlineStr">
        <is>
          <t>03-machine-learning/03-practicas/actividades/UD2_EDA_Regresion_AmesHousing.md</t>
        </is>
      </c>
      <c r="F48" t="inlineStr">
        <is>
          <t>Revisar</t>
        </is>
      </c>
      <c r="G48"/>
      <c r="H48" t="inlineStr">
        <is>
          <t>Pendiente</t>
        </is>
      </c>
      <c r="I48"/>
      <c r="J48"/>
      <c r="K48"/>
      <c r="L48"/>
      <c r="M48">
        <f>IF(AND(ISNUMBER(K48),ISNUMBER(L48)),MAX(K48-L48,0),"")</f>
      </c>
      <c r="N48"/>
      <c r="O48"/>
      <c r="P48"/>
    </row>
    <row r="49">
      <c r="A49" t="inlineStr">
        <is>
          <t>03</t>
        </is>
      </c>
      <c r="B49" t="inlineStr">
        <is>
          <t>03 - Machine Learning</t>
        </is>
      </c>
      <c r="C49" t="inlineStr">
        <is>
          <t>vehiculoPycaret</t>
        </is>
      </c>
      <c r="D49" t="inlineStr">
        <is>
          <t>notebook</t>
        </is>
      </c>
      <c r="E49" t="inlineStr">
        <is>
          <t>03-machine-learning/03-practicas/actividades/automl-used-cars/notebooks/vehiculoPycaret.ipynb</t>
        </is>
      </c>
      <c r="F49" t="inlineStr">
        <is>
          <t>Revisar</t>
        </is>
      </c>
      <c r="G49"/>
      <c r="H49" t="inlineStr">
        <is>
          <t>Pendiente</t>
        </is>
      </c>
      <c r="I49"/>
      <c r="J49"/>
      <c r="K49"/>
      <c r="L49"/>
      <c r="M49">
        <f>IF(AND(ISNUMBER(K49),ISNUMBER(L49)),MAX(K49-L49,0),"")</f>
      </c>
      <c r="N49"/>
      <c r="O49"/>
      <c r="P49"/>
    </row>
    <row r="50">
      <c r="A50" t="inlineStr">
        <is>
          <t>03</t>
        </is>
      </c>
      <c r="B50" t="inlineStr">
        <is>
          <t>03 - Machine Learning</t>
        </is>
      </c>
      <c r="C50" t="inlineStr">
        <is>
          <t>Rubrica</t>
        </is>
      </c>
      <c r="D50" t="inlineStr">
        <is>
          <t>guía/rúbrica</t>
        </is>
      </c>
      <c r="E50" t="inlineStr">
        <is>
          <t>03-machine-learning/03-practicas/actividades/house-prices-kaggle/docs/rubrica.md</t>
        </is>
      </c>
      <c r="F50" t="inlineStr">
        <is>
          <t>Revisar</t>
        </is>
      </c>
      <c r="G50"/>
      <c r="H50" t="inlineStr">
        <is>
          <t>Pendiente</t>
        </is>
      </c>
      <c r="I50"/>
      <c r="J50"/>
      <c r="K50"/>
      <c r="L50"/>
      <c r="M50">
        <f>IF(AND(ISNUMBER(K50),ISNUMBER(L50)),MAX(K50-L50,0),"")</f>
      </c>
      <c r="N50"/>
      <c r="O50"/>
      <c r="P50"/>
    </row>
    <row r="51">
      <c r="A51" t="inlineStr">
        <is>
          <t>03</t>
        </is>
      </c>
      <c r="B51" t="inlineStr">
        <is>
          <t>03 - Machine Learning</t>
        </is>
      </c>
      <c r="C51" t="inlineStr">
        <is>
          <t>House Prices Advanced Regression2</t>
        </is>
      </c>
      <c r="D51" t="inlineStr">
        <is>
          <t>notebook</t>
        </is>
      </c>
      <c r="E51" t="inlineStr">
        <is>
          <t>03-machine-learning/03-practicas/actividades/house-prices-kaggle/notebooks/house_prices_advanced_regression2.ipynb</t>
        </is>
      </c>
      <c r="F51" t="inlineStr">
        <is>
          <t>Revisar</t>
        </is>
      </c>
      <c r="G51"/>
      <c r="H51" t="inlineStr">
        <is>
          <t>Pendiente</t>
        </is>
      </c>
      <c r="I51"/>
      <c r="J51"/>
      <c r="K51"/>
      <c r="L51"/>
      <c r="M51">
        <f>IF(AND(ISNUMBER(K51),ISNUMBER(L51)),MAX(K51-L51,0),"")</f>
      </c>
      <c r="N51"/>
      <c r="O51"/>
      <c r="P51"/>
    </row>
    <row r="52">
      <c r="A52" t="inlineStr">
        <is>
          <t>03</t>
        </is>
      </c>
      <c r="B52" t="inlineStr">
        <is>
          <t>03 - Machine Learning</t>
        </is>
      </c>
      <c r="C52" t="inlineStr">
        <is>
          <t>🎬 Actividad Práctica: Construcción de un Dataset de Películas con TMDB + OMDb</t>
        </is>
      </c>
      <c r="D52" t="inlineStr">
        <is>
          <t>guía/rúbrica</t>
        </is>
      </c>
      <c r="E52" t="inlineStr">
        <is>
          <t>03-machine-learning/03-practicas/laboratorios/Lab1/CreacionDataset (1).md</t>
        </is>
      </c>
      <c r="F52" t="inlineStr">
        <is>
          <t>Revisar</t>
        </is>
      </c>
      <c r="G52"/>
      <c r="H52" t="inlineStr">
        <is>
          <t>Pendiente</t>
        </is>
      </c>
      <c r="I52"/>
      <c r="J52"/>
      <c r="K52"/>
      <c r="L52"/>
      <c r="M52">
        <f>IF(AND(ISNUMBER(K52),ISNUMBER(L52)),MAX(K52-L52,0),"")</f>
      </c>
      <c r="N52"/>
      <c r="O52"/>
      <c r="P52"/>
    </row>
    <row r="53">
      <c r="A53" t="inlineStr">
        <is>
          <t>03</t>
        </is>
      </c>
      <c r="B53" t="inlineStr">
        <is>
          <t>03 - Machine Learning</t>
        </is>
      </c>
      <c r="C53" t="inlineStr">
        <is>
          <t>🎬 Actividad Práctica: Construcción de un Dataset de Películas con TMDB + OMDb</t>
        </is>
      </c>
      <c r="D53" t="inlineStr">
        <is>
          <t>guía/rúbrica</t>
        </is>
      </c>
      <c r="E53" t="inlineStr">
        <is>
          <t>03-machine-learning/03-practicas/laboratorios/Lab1/CreacionDataset.md</t>
        </is>
      </c>
      <c r="F53" t="inlineStr">
        <is>
          <t>Revisar</t>
        </is>
      </c>
      <c r="G53"/>
      <c r="H53" t="inlineStr">
        <is>
          <t>Pendiente</t>
        </is>
      </c>
      <c r="I53"/>
      <c r="J53"/>
      <c r="K53"/>
      <c r="L53"/>
      <c r="M53">
        <f>IF(AND(ISNUMBER(K53),ISNUMBER(L53)),MAX(K53-L53,0),"")</f>
      </c>
      <c r="N53"/>
      <c r="O53"/>
      <c r="P53"/>
    </row>
    <row r="54">
      <c r="A54" t="inlineStr">
        <is>
          <t>03</t>
        </is>
      </c>
      <c r="B54" t="inlineStr">
        <is>
          <t>03 - Machine Learning</t>
        </is>
      </c>
      <c r="C54" t="inlineStr">
        <is>
          <t>EDA MovieLens Guiado</t>
        </is>
      </c>
      <c r="D54" t="inlineStr">
        <is>
          <t>notebook</t>
        </is>
      </c>
      <c r="E54" t="inlineStr">
        <is>
          <t>03-machine-learning/03-practicas/laboratorios/Lab1/EDA_MovieLens_Guiado.ipynb</t>
        </is>
      </c>
      <c r="F54" t="inlineStr">
        <is>
          <t>Revisar</t>
        </is>
      </c>
      <c r="G54"/>
      <c r="H54" t="inlineStr">
        <is>
          <t>Pendiente</t>
        </is>
      </c>
      <c r="I54"/>
      <c r="J54"/>
      <c r="K54"/>
      <c r="L54"/>
      <c r="M54">
        <f>IF(AND(ISNUMBER(K54),ISNUMBER(L54)),MAX(K54-L54,0),"")</f>
      </c>
      <c r="N54"/>
      <c r="O54"/>
      <c r="P54"/>
    </row>
    <row r="55">
      <c r="A55" t="inlineStr">
        <is>
          <t>03</t>
        </is>
      </c>
      <c r="B55" t="inlineStr">
        <is>
          <t>03 - Machine Learning</t>
        </is>
      </c>
      <c r="C55" t="inlineStr">
        <is>
          <t>📝 Entrega del Proyecto: Dataset de Películas (TMDB + OMDb)</t>
        </is>
      </c>
      <c r="D55" t="inlineStr">
        <is>
          <t>guía/rúbrica</t>
        </is>
      </c>
      <c r="E55" t="inlineStr">
        <is>
          <t>03-machine-learning/03-practicas/laboratorios/Lab1/Entrega_Proyecto_Dataset_Peliculas.md</t>
        </is>
      </c>
      <c r="F55" t="inlineStr">
        <is>
          <t>Revisar</t>
        </is>
      </c>
      <c r="G55"/>
      <c r="H55" t="inlineStr">
        <is>
          <t>Pendiente</t>
        </is>
      </c>
      <c r="I55"/>
      <c r="J55"/>
      <c r="K55"/>
      <c r="L55"/>
      <c r="M55">
        <f>IF(AND(ISNUMBER(K55),ISNUMBER(L55)),MAX(K55-L55,0),"")</f>
      </c>
      <c r="N55"/>
      <c r="O55"/>
      <c r="P55"/>
    </row>
    <row r="56">
      <c r="A56" t="inlineStr">
        <is>
          <t>03</t>
        </is>
      </c>
      <c r="B56" t="inlineStr">
        <is>
          <t>03 - Machine Learning</t>
        </is>
      </c>
      <c r="C56" t="inlineStr">
        <is>
          <t>Main</t>
        </is>
      </c>
      <c r="D56" t="inlineStr">
        <is>
          <t>script</t>
        </is>
      </c>
      <c r="E56" t="inlineStr">
        <is>
          <t>03-machine-learning/03-practicas/laboratorios/Lab1/caso_practico/main.py</t>
        </is>
      </c>
      <c r="F56" t="inlineStr">
        <is>
          <t>Revisar</t>
        </is>
      </c>
      <c r="G56"/>
      <c r="H56" t="inlineStr">
        <is>
          <t>Pendiente</t>
        </is>
      </c>
      <c r="I56"/>
      <c r="J56"/>
      <c r="K56"/>
      <c r="L56"/>
      <c r="M56">
        <f>IF(AND(ISNUMBER(K56),ISNUMBER(L56)),MAX(K56-L56,0),"")</f>
      </c>
      <c r="N56"/>
      <c r="O56"/>
      <c r="P56"/>
    </row>
    <row r="57">
      <c r="A57" t="inlineStr">
        <is>
          <t>03</t>
        </is>
      </c>
      <c r="B57" t="inlineStr">
        <is>
          <t>03 - Machine Learning</t>
        </is>
      </c>
      <c r="C57" t="inlineStr">
        <is>
          <t>Experiment MoviesDataSet</t>
        </is>
      </c>
      <c r="D57" t="inlineStr">
        <is>
          <t>notebook</t>
        </is>
      </c>
      <c r="E57" t="inlineStr">
        <is>
          <t>03-machine-learning/03-practicas/laboratorios/Lab1/mi_dataset_peliculas/src/experiment_MoviesDataSet.ipynb</t>
        </is>
      </c>
      <c r="F57" t="inlineStr">
        <is>
          <t>Revisar</t>
        </is>
      </c>
      <c r="G57"/>
      <c r="H57" t="inlineStr">
        <is>
          <t>Pendiente</t>
        </is>
      </c>
      <c r="I57"/>
      <c r="J57"/>
      <c r="K57"/>
      <c r="L57"/>
      <c r="M57">
        <f>IF(AND(ISNUMBER(K57),ISNUMBER(L57)),MAX(K57-L57,0),"")</f>
      </c>
      <c r="N57"/>
      <c r="O57"/>
      <c r="P57"/>
    </row>
    <row r="58">
      <c r="A58" t="inlineStr">
        <is>
          <t>03</t>
        </is>
      </c>
      <c r="B58" t="inlineStr">
        <is>
          <t>03 - Machine Learning</t>
        </is>
      </c>
      <c r="C58" t="inlineStr">
        <is>
          <t>Init</t>
        </is>
      </c>
      <c r="D58" t="inlineStr">
        <is>
          <t>script</t>
        </is>
      </c>
      <c r="E58" t="inlineStr">
        <is>
          <t>03-machine-learning/03-practicas/laboratorios/Lab1/mi_dataset_peliculas/src/mi_dataset_peliculas/__init__.py</t>
        </is>
      </c>
      <c r="F58" t="inlineStr">
        <is>
          <t>Revisar</t>
        </is>
      </c>
      <c r="G58"/>
      <c r="H58" t="inlineStr">
        <is>
          <t>Pendiente</t>
        </is>
      </c>
      <c r="I58"/>
      <c r="J58"/>
      <c r="K58"/>
      <c r="L58"/>
      <c r="M58">
        <f>IF(AND(ISNUMBER(K58),ISNUMBER(L58)),MAX(K58-L58,0),"")</f>
      </c>
      <c r="N58"/>
      <c r="O58"/>
      <c r="P58"/>
    </row>
    <row r="59">
      <c r="A59" t="inlineStr">
        <is>
          <t>03</t>
        </is>
      </c>
      <c r="B59" t="inlineStr">
        <is>
          <t>03 - Machine Learning</t>
        </is>
      </c>
      <c r="C59" t="inlineStr">
        <is>
          <t>Build Dataset</t>
        </is>
      </c>
      <c r="D59" t="inlineStr">
        <is>
          <t>script</t>
        </is>
      </c>
      <c r="E59" t="inlineStr">
        <is>
          <t>03-machine-learning/03-practicas/laboratorios/Lab1/mi_dataset_peliculas/src/mi_dataset_peliculas/build_dataset.py</t>
        </is>
      </c>
      <c r="F59" t="inlineStr">
        <is>
          <t>Revisar</t>
        </is>
      </c>
      <c r="G59"/>
      <c r="H59" t="inlineStr">
        <is>
          <t>Pendiente</t>
        </is>
      </c>
      <c r="I59"/>
      <c r="J59"/>
      <c r="K59"/>
      <c r="L59"/>
      <c r="M59">
        <f>IF(AND(ISNUMBER(K59),ISNUMBER(L59)),MAX(K59-L59,0),"")</f>
      </c>
      <c r="N59"/>
      <c r="O59"/>
      <c r="P59"/>
    </row>
    <row r="60">
      <c r="A60" t="inlineStr">
        <is>
          <t>03</t>
        </is>
      </c>
      <c r="B60" t="inlineStr">
        <is>
          <t>03 - Machine Learning</t>
        </is>
      </c>
      <c r="C60" t="inlineStr">
        <is>
          <t>Config</t>
        </is>
      </c>
      <c r="D60" t="inlineStr">
        <is>
          <t>script</t>
        </is>
      </c>
      <c r="E60" t="inlineStr">
        <is>
          <t>03-machine-learning/03-practicas/laboratorios/Lab1/mi_dataset_peliculas/src/mi_dataset_peliculas/config.py</t>
        </is>
      </c>
      <c r="F60" t="inlineStr">
        <is>
          <t>Revisar</t>
        </is>
      </c>
      <c r="G60"/>
      <c r="H60" t="inlineStr">
        <is>
          <t>Pendiente</t>
        </is>
      </c>
      <c r="I60"/>
      <c r="J60"/>
      <c r="K60"/>
      <c r="L60"/>
      <c r="M60">
        <f>IF(AND(ISNUMBER(K60),ISNUMBER(L60)),MAX(K60-L60,0),"")</f>
      </c>
      <c r="N60"/>
      <c r="O60"/>
      <c r="P60"/>
    </row>
    <row r="61">
      <c r="A61" t="inlineStr">
        <is>
          <t>03</t>
        </is>
      </c>
      <c r="B61" t="inlineStr">
        <is>
          <t>03 - Machine Learning</t>
        </is>
      </c>
      <c r="C61" t="inlineStr">
        <is>
          <t>Merge</t>
        </is>
      </c>
      <c r="D61" t="inlineStr">
        <is>
          <t>script</t>
        </is>
      </c>
      <c r="E61" t="inlineStr">
        <is>
          <t>03-machine-learning/03-practicas/laboratorios/Lab1/mi_dataset_peliculas/src/mi_dataset_peliculas/merge.py</t>
        </is>
      </c>
      <c r="F61" t="inlineStr">
        <is>
          <t>Revisar</t>
        </is>
      </c>
      <c r="G61"/>
      <c r="H61" t="inlineStr">
        <is>
          <t>Pendiente</t>
        </is>
      </c>
      <c r="I61"/>
      <c r="J61"/>
      <c r="K61"/>
      <c r="L61"/>
      <c r="M61">
        <f>IF(AND(ISNUMBER(K61),ISNUMBER(L61)),MAX(K61-L61,0),"")</f>
      </c>
      <c r="N61"/>
      <c r="O61"/>
      <c r="P61"/>
    </row>
    <row r="62">
      <c r="A62" t="inlineStr">
        <is>
          <t>03</t>
        </is>
      </c>
      <c r="B62" t="inlineStr">
        <is>
          <t>03 - Machine Learning</t>
        </is>
      </c>
      <c r="C62" t="inlineStr">
        <is>
          <t>Omdb</t>
        </is>
      </c>
      <c r="D62" t="inlineStr">
        <is>
          <t>script</t>
        </is>
      </c>
      <c r="E62" t="inlineStr">
        <is>
          <t>03-machine-learning/03-practicas/laboratorios/Lab1/mi_dataset_peliculas/src/mi_dataset_peliculas/omdb.py</t>
        </is>
      </c>
      <c r="F62" t="inlineStr">
        <is>
          <t>Revisar</t>
        </is>
      </c>
      <c r="G62"/>
      <c r="H62" t="inlineStr">
        <is>
          <t>Pendiente</t>
        </is>
      </c>
      <c r="I62"/>
      <c r="J62"/>
      <c r="K62"/>
      <c r="L62"/>
      <c r="M62">
        <f>IF(AND(ISNUMBER(K62),ISNUMBER(L62)),MAX(K62-L62,0),"")</f>
      </c>
      <c r="N62"/>
      <c r="O62"/>
      <c r="P62"/>
    </row>
    <row r="63">
      <c r="A63" t="inlineStr">
        <is>
          <t>03</t>
        </is>
      </c>
      <c r="B63" t="inlineStr">
        <is>
          <t>03 - Machine Learning</t>
        </is>
      </c>
      <c r="C63" t="inlineStr">
        <is>
          <t>Tmdb</t>
        </is>
      </c>
      <c r="D63" t="inlineStr">
        <is>
          <t>script</t>
        </is>
      </c>
      <c r="E63" t="inlineStr">
        <is>
          <t>03-machine-learning/03-practicas/laboratorios/Lab1/mi_dataset_peliculas/src/mi_dataset_peliculas/tmdb.py</t>
        </is>
      </c>
      <c r="F63" t="inlineStr">
        <is>
          <t>Revisar</t>
        </is>
      </c>
      <c r="G63"/>
      <c r="H63" t="inlineStr">
        <is>
          <t>Pendiente</t>
        </is>
      </c>
      <c r="I63"/>
      <c r="J63"/>
      <c r="K63"/>
      <c r="L63"/>
      <c r="M63">
        <f>IF(AND(ISNUMBER(K63),ISNUMBER(L63)),MAX(K63-L63,0),"")</f>
      </c>
      <c r="N63"/>
      <c r="O63"/>
      <c r="P63"/>
    </row>
    <row r="64">
      <c r="A64" t="inlineStr">
        <is>
          <t>03</t>
        </is>
      </c>
      <c r="B64" t="inlineStr">
        <is>
          <t>03 - Machine Learning</t>
        </is>
      </c>
      <c r="C64" t="inlineStr">
        <is>
          <t>Init</t>
        </is>
      </c>
      <c r="D64" t="inlineStr">
        <is>
          <t>script</t>
        </is>
      </c>
      <c r="E64" t="inlineStr">
        <is>
          <t>03-machine-learning/03-practicas/laboratorios/Lab1/mi_dataset_peliculas/tests/__init__.py</t>
        </is>
      </c>
      <c r="F64" t="inlineStr">
        <is>
          <t>Revisar</t>
        </is>
      </c>
      <c r="G64"/>
      <c r="H64" t="inlineStr">
        <is>
          <t>Pendiente</t>
        </is>
      </c>
      <c r="I64"/>
      <c r="J64"/>
      <c r="K64"/>
      <c r="L64"/>
      <c r="M64">
        <f>IF(AND(ISNUMBER(K64),ISNUMBER(L64)),MAX(K64-L64,0),"")</f>
      </c>
      <c r="N64"/>
      <c r="O64"/>
      <c r="P64"/>
    </row>
    <row r="65">
      <c r="A65" t="inlineStr">
        <is>
          <t>03</t>
        </is>
      </c>
      <c r="B65" t="inlineStr">
        <is>
          <t>03 - Machine Learning</t>
        </is>
      </c>
      <c r="C65" t="inlineStr">
        <is>
          <t>🧪 Proyecto de Creación de Dataset Meteorológico</t>
        </is>
      </c>
      <c r="D65" t="inlineStr">
        <is>
          <t>guía/rúbrica</t>
        </is>
      </c>
      <c r="E65" t="inlineStr">
        <is>
          <t>03-machine-learning/03-practicas/laboratorios/Lab2/CreacionDatasetMeteo.md</t>
        </is>
      </c>
      <c r="F65" t="inlineStr">
        <is>
          <t>Revisar</t>
        </is>
      </c>
      <c r="G65"/>
      <c r="H65" t="inlineStr">
        <is>
          <t>Pendiente</t>
        </is>
      </c>
      <c r="I65"/>
      <c r="J65"/>
      <c r="K65"/>
      <c r="L65"/>
      <c r="M65">
        <f>IF(AND(ISNUMBER(K65),ISNUMBER(L65)),MAX(K65-L65,0),"")</f>
      </c>
      <c r="N65"/>
      <c r="O65"/>
      <c r="P65"/>
    </row>
    <row r="66">
      <c r="A66" t="inlineStr">
        <is>
          <t>03</t>
        </is>
      </c>
      <c r="B66" t="inlineStr">
        <is>
          <t>03 - Machine Learning</t>
        </is>
      </c>
      <c r="C66" t="inlineStr">
        <is>
          <t>📦 Entrega – Proyecto de Predicción Meteorológica</t>
        </is>
      </c>
      <c r="D66" t="inlineStr">
        <is>
          <t>guía/rúbrica</t>
        </is>
      </c>
      <c r="E66" t="inlineStr">
        <is>
          <t>03-machine-learning/03-practicas/laboratorios/Lab2/Entrega_Dataset_Meteo.md</t>
        </is>
      </c>
      <c r="F66" t="inlineStr">
        <is>
          <t>Revisar</t>
        </is>
      </c>
      <c r="G66"/>
      <c r="H66" t="inlineStr">
        <is>
          <t>Pendiente</t>
        </is>
      </c>
      <c r="I66"/>
      <c r="J66"/>
      <c r="K66"/>
      <c r="L66"/>
      <c r="M66">
        <f>IF(AND(ISNUMBER(K66),ISNUMBER(L66)),MAX(K66-L66,0),"")</f>
      </c>
      <c r="N66"/>
      <c r="O66"/>
      <c r="P66"/>
    </row>
    <row r="67">
      <c r="A67" t="inlineStr">
        <is>
          <t>03</t>
        </is>
      </c>
      <c r="B67" t="inlineStr">
        <is>
          <t>03 - Machine Learning</t>
        </is>
      </c>
      <c r="C67" t="inlineStr">
        <is>
          <t>Lab EDA Meteo OpenMeteo AEMET</t>
        </is>
      </c>
      <c r="D67" t="inlineStr">
        <is>
          <t>notebook</t>
        </is>
      </c>
      <c r="E67" t="inlineStr">
        <is>
          <t>03-machine-learning/03-practicas/laboratorios/Lab2/Lab_EDA_Meteo_OpenMeteo_AEMET.ipynb</t>
        </is>
      </c>
      <c r="F67" t="inlineStr">
        <is>
          <t>Revisar</t>
        </is>
      </c>
      <c r="G67"/>
      <c r="H67" t="inlineStr">
        <is>
          <t>Pendiente</t>
        </is>
      </c>
      <c r="I67"/>
      <c r="J67"/>
      <c r="K67"/>
      <c r="L67"/>
      <c r="M67">
        <f>IF(AND(ISNUMBER(K67),ISNUMBER(L67)),MAX(K67-L67,0),"")</f>
      </c>
      <c r="N67"/>
      <c r="O67"/>
      <c r="P67"/>
    </row>
    <row r="68">
      <c r="A68" t="inlineStr">
        <is>
          <t>03</t>
        </is>
      </c>
      <c r="B68" t="inlineStr">
        <is>
          <t>03 - Machine Learning</t>
        </is>
      </c>
      <c r="C68" t="inlineStr">
        <is>
          <t>📦 Entrega – Proyecto de Predicción Meteorológica</t>
        </is>
      </c>
      <c r="D68" t="inlineStr">
        <is>
          <t>guía/rúbrica</t>
        </is>
      </c>
      <c r="E68" t="inlineStr">
        <is>
          <t>03-machine-learning/03-practicas/laboratorios/Lab2/MeteoPrediccion/Entrega_Prediccion_Meteo.md</t>
        </is>
      </c>
      <c r="F68" t="inlineStr">
        <is>
          <t>Revisar</t>
        </is>
      </c>
      <c r="G68"/>
      <c r="H68" t="inlineStr">
        <is>
          <t>Pendiente</t>
        </is>
      </c>
      <c r="I68"/>
      <c r="J68"/>
      <c r="K68"/>
      <c r="L68"/>
      <c r="M68">
        <f>IF(AND(ISNUMBER(K68),ISNUMBER(L68)),MAX(K68-L68,0),"")</f>
      </c>
      <c r="N68"/>
      <c r="O68"/>
      <c r="P68"/>
    </row>
    <row r="69">
      <c r="A69" t="inlineStr">
        <is>
          <t>03</t>
        </is>
      </c>
      <c r="B69" t="inlineStr">
        <is>
          <t>03 - Machine Learning</t>
        </is>
      </c>
      <c r="C69" t="inlineStr">
        <is>
          <t>Prediccion Meteo Experimental</t>
        </is>
      </c>
      <c r="D69" t="inlineStr">
        <is>
          <t>notebook</t>
        </is>
      </c>
      <c r="E69" t="inlineStr">
        <is>
          <t>03-machine-learning/03-practicas/laboratorios/Lab2/MeteoPrediccion/Prediccion_Meteo_Experimental.ipynb</t>
        </is>
      </c>
      <c r="F69" t="inlineStr">
        <is>
          <t>Revisar</t>
        </is>
      </c>
      <c r="G69"/>
      <c r="H69" t="inlineStr">
        <is>
          <t>Pendiente</t>
        </is>
      </c>
      <c r="I69"/>
      <c r="J69"/>
      <c r="K69"/>
      <c r="L69"/>
      <c r="M69">
        <f>IF(AND(ISNUMBER(K69),ISNUMBER(L69)),MAX(K69-L69,0),"")</f>
      </c>
      <c r="N69"/>
      <c r="O69"/>
      <c r="P69"/>
    </row>
    <row r="70">
      <c r="A70" t="inlineStr">
        <is>
          <t>03</t>
        </is>
      </c>
      <c r="B70" t="inlineStr">
        <is>
          <t>03 - Machine Learning</t>
        </is>
      </c>
      <c r="C70" t="inlineStr">
        <is>
          <t>🧪 Actividad opcional: Construcción de tu propio dataset con fuentes abiertas</t>
        </is>
      </c>
      <c r="D70" t="inlineStr">
        <is>
          <t>guía/rúbrica</t>
        </is>
      </c>
      <c r="E70" t="inlineStr">
        <is>
          <t>03-machine-learning/03-practicas/laboratorios/Lab3/CreacionDatasetPropioBigData.md</t>
        </is>
      </c>
      <c r="F70" t="inlineStr">
        <is>
          <t>Revisar</t>
        </is>
      </c>
      <c r="G70"/>
      <c r="H70" t="inlineStr">
        <is>
          <t>Pendiente</t>
        </is>
      </c>
      <c r="I70"/>
      <c r="J70"/>
      <c r="K70"/>
      <c r="L70"/>
      <c r="M70">
        <f>IF(AND(ISNUMBER(K70),ISNUMBER(L70)),MAX(K70-L70,0),"")</f>
      </c>
      <c r="N70"/>
      <c r="O70"/>
      <c r="P70"/>
    </row>
    <row r="71">
      <c r="A71" t="inlineStr">
        <is>
          <t>03</t>
        </is>
      </c>
      <c r="B71" t="inlineStr">
        <is>
          <t>03 - Machine Learning</t>
        </is>
      </c>
      <c r="C71" t="inlineStr">
        <is>
          <t>EDA MovieLens Guiado</t>
        </is>
      </c>
      <c r="D71" t="inlineStr">
        <is>
          <t>notebook</t>
        </is>
      </c>
      <c r="E71" t="inlineStr">
        <is>
          <t>03-machine-learning/03-practicas/laboratorios/Lab3/EDA_MovieLens_Guiado.ipynb</t>
        </is>
      </c>
      <c r="F71" t="inlineStr">
        <is>
          <t>Revisar</t>
        </is>
      </c>
      <c r="G71"/>
      <c r="H71" t="inlineStr">
        <is>
          <t>Pendiente</t>
        </is>
      </c>
      <c r="I71"/>
      <c r="J71"/>
      <c r="K71"/>
      <c r="L71"/>
      <c r="M71">
        <f>IF(AND(ISNUMBER(K71),ISNUMBER(L71)),MAX(K71-L71,0),"")</f>
      </c>
      <c r="N71"/>
      <c r="O71"/>
      <c r="P71"/>
    </row>
    <row r="72">
      <c r="A72" t="inlineStr">
        <is>
          <t>03</t>
        </is>
      </c>
      <c r="B72" t="inlineStr">
        <is>
          <t>03 - Machine Learning</t>
        </is>
      </c>
      <c r="C72" t="inlineStr">
        <is>
          <t>📦 Entrega del Proyecto: Creación de Dataset Propio</t>
        </is>
      </c>
      <c r="D72" t="inlineStr">
        <is>
          <t>guía/rúbrica</t>
        </is>
      </c>
      <c r="E72" t="inlineStr">
        <is>
          <t>03-machine-learning/03-practicas/laboratorios/Lab3/Entrega_Dataset_Propio.md</t>
        </is>
      </c>
      <c r="F72" t="inlineStr">
        <is>
          <t>Revisar</t>
        </is>
      </c>
      <c r="G72"/>
      <c r="H72" t="inlineStr">
        <is>
          <t>Pendiente</t>
        </is>
      </c>
      <c r="I72"/>
      <c r="J72"/>
      <c r="K72"/>
      <c r="L72"/>
      <c r="M72">
        <f>IF(AND(ISNUMBER(K72),ISNUMBER(L72)),MAX(K72-L72,0),"")</f>
      </c>
      <c r="N72"/>
      <c r="O72"/>
      <c r="P72"/>
    </row>
    <row r="73">
      <c r="A73" t="inlineStr">
        <is>
          <t>03</t>
        </is>
      </c>
      <c r="B73" t="inlineStr">
        <is>
          <t>03 - Machine Learning</t>
        </is>
      </c>
      <c r="C73" t="inlineStr">
        <is>
          <t>📌 TEXTO PARA MOODLE / SÉNECA</t>
        </is>
      </c>
      <c r="D73" t="inlineStr">
        <is>
          <t>guía/rúbrica</t>
        </is>
      </c>
      <c r="E73" t="inlineStr">
        <is>
          <t>03-machine-learning/03-practicas/midterm-capstone/Peliculas/00-CapstonePeliculas-Profe.md</t>
        </is>
      </c>
      <c r="F73" t="inlineStr">
        <is>
          <t>Revisar</t>
        </is>
      </c>
      <c r="G73"/>
      <c r="H73" t="inlineStr">
        <is>
          <t>Pendiente</t>
        </is>
      </c>
      <c r="I73"/>
      <c r="J73"/>
      <c r="K73"/>
      <c r="L73"/>
      <c r="M73">
        <f>IF(AND(ISNUMBER(K73),ISNUMBER(L73)),MAX(K73-L73,0),"")</f>
      </c>
      <c r="N73"/>
      <c r="O73"/>
      <c r="P73"/>
    </row>
    <row r="74">
      <c r="A74" t="inlineStr">
        <is>
          <t>03</t>
        </is>
      </c>
      <c r="B74" t="inlineStr">
        <is>
          <t>03 - Machine Learning</t>
        </is>
      </c>
      <c r="C74" t="inlineStr">
        <is>
          <t>🧠 Proyecto de IA — Dataset de películas</t>
        </is>
      </c>
      <c r="D74" t="inlineStr">
        <is>
          <t>guía/rúbrica</t>
        </is>
      </c>
      <c r="E74" t="inlineStr">
        <is>
          <t>03-machine-learning/03-practicas/midterm-capstone/Peliculas/00-CapstonePeliculas.md</t>
        </is>
      </c>
      <c r="F74" t="inlineStr">
        <is>
          <t>Revisar</t>
        </is>
      </c>
      <c r="G74"/>
      <c r="H74" t="inlineStr">
        <is>
          <t>Pendiente</t>
        </is>
      </c>
      <c r="I74"/>
      <c r="J74"/>
      <c r="K74"/>
      <c r="L74"/>
      <c r="M74">
        <f>IF(AND(ISNUMBER(K74),ISNUMBER(L74)),MAX(K74-L74,0),"")</f>
      </c>
      <c r="N74"/>
      <c r="O74"/>
      <c r="P74"/>
    </row>
    <row r="75">
      <c r="A75" t="inlineStr">
        <is>
          <t>03</t>
        </is>
      </c>
      <c r="B75" t="inlineStr">
        <is>
          <t>03 - Machine Learning</t>
        </is>
      </c>
      <c r="C75" t="inlineStr">
        <is>
          <t>🗣️ CHULETA DEFENSA ORAL</t>
        </is>
      </c>
      <c r="D75" t="inlineStr">
        <is>
          <t>guía/rúbrica</t>
        </is>
      </c>
      <c r="E75" t="inlineStr">
        <is>
          <t>03-machine-learning/03-practicas/midterm-capstone/Peliculas/DefensaOralPeliculas-Chuleta.md</t>
        </is>
      </c>
      <c r="F75" t="inlineStr">
        <is>
          <t>Revisar</t>
        </is>
      </c>
      <c r="G75"/>
      <c r="H75" t="inlineStr">
        <is>
          <t>Pendiente</t>
        </is>
      </c>
      <c r="I75"/>
      <c r="J75"/>
      <c r="K75"/>
      <c r="L75"/>
      <c r="M75">
        <f>IF(AND(ISNUMBER(K75),ISNUMBER(L75)),MAX(K75-L75,0),"")</f>
      </c>
      <c r="N75"/>
      <c r="O75"/>
      <c r="P75"/>
    </row>
    <row r="76">
      <c r="A76" t="inlineStr">
        <is>
          <t>03</t>
        </is>
      </c>
      <c r="B76" t="inlineStr">
        <is>
          <t>03 - Machine Learning</t>
        </is>
      </c>
      <c r="C76" t="inlineStr">
        <is>
          <t>🗣️ GUÍA DE DEFENSA ORAL</t>
        </is>
      </c>
      <c r="D76" t="inlineStr">
        <is>
          <t>guía/rúbrica</t>
        </is>
      </c>
      <c r="E76" t="inlineStr">
        <is>
          <t>03-machine-learning/03-practicas/midterm-capstone/Peliculas/DefensaOralPeliculas.md</t>
        </is>
      </c>
      <c r="F76" t="inlineStr">
        <is>
          <t>Revisar</t>
        </is>
      </c>
      <c r="G76"/>
      <c r="H76" t="inlineStr">
        <is>
          <t>Pendiente</t>
        </is>
      </c>
      <c r="I76"/>
      <c r="J76"/>
      <c r="K76"/>
      <c r="L76"/>
      <c r="M76">
        <f>IF(AND(ISNUMBER(K76),ISNUMBER(L76)),MAX(K76-L76,0),"")</f>
      </c>
      <c r="N76"/>
      <c r="O76"/>
      <c r="P76"/>
    </row>
    <row r="77">
      <c r="A77" t="inlineStr">
        <is>
          <t>03</t>
        </is>
      </c>
      <c r="B77" t="inlineStr">
        <is>
          <t>03 - Machine Learning</t>
        </is>
      </c>
      <c r="C77" t="inlineStr">
        <is>
          <t>Práctica 1 — Exploración y comprensión del dataset de películas</t>
        </is>
      </c>
      <c r="D77" t="inlineStr">
        <is>
          <t>guía/rúbrica</t>
        </is>
      </c>
      <c r="E77" t="inlineStr">
        <is>
          <t>03-machine-learning/03-practicas/midterm-capstone/Peliculas/Practica_Peliculas_OK/docs/01-P1_EDA_Peliculas.md</t>
        </is>
      </c>
      <c r="F77" t="inlineStr">
        <is>
          <t>Revisar</t>
        </is>
      </c>
      <c r="G77"/>
      <c r="H77" t="inlineStr">
        <is>
          <t>Pendiente</t>
        </is>
      </c>
      <c r="I77"/>
      <c r="J77"/>
      <c r="K77"/>
      <c r="L77"/>
      <c r="M77">
        <f>IF(AND(ISNUMBER(K77),ISNUMBER(L77)),MAX(K77-L77,0),"")</f>
      </c>
      <c r="N77"/>
      <c r="O77"/>
      <c r="P77"/>
    </row>
    <row r="78">
      <c r="A78" t="inlineStr">
        <is>
          <t>03</t>
        </is>
      </c>
      <c r="B78" t="inlineStr">
        <is>
          <t>03 - Machine Learning</t>
        </is>
      </c>
      <c r="C78" t="inlineStr">
        <is>
          <t>Práctica 2 — Modelado exploratorio con PyCaret</t>
        </is>
      </c>
      <c r="D78" t="inlineStr">
        <is>
          <t>guía/rúbrica</t>
        </is>
      </c>
      <c r="E78" t="inlineStr">
        <is>
          <t>03-machine-learning/03-practicas/midterm-capstone/Peliculas/Practica_Peliculas_OK/docs/02-P2_Modelado_PyCaret_Peliculas.md</t>
        </is>
      </c>
      <c r="F78" t="inlineStr">
        <is>
          <t>Revisar</t>
        </is>
      </c>
      <c r="G78"/>
      <c r="H78" t="inlineStr">
        <is>
          <t>Pendiente</t>
        </is>
      </c>
      <c r="I78"/>
      <c r="J78"/>
      <c r="K78"/>
      <c r="L78"/>
      <c r="M78">
        <f>IF(AND(ISNUMBER(K78),ISNUMBER(L78)),MAX(K78-L78,0),"")</f>
      </c>
      <c r="N78"/>
      <c r="O78"/>
      <c r="P78"/>
    </row>
    <row r="79">
      <c r="A79" t="inlineStr">
        <is>
          <t>03</t>
        </is>
      </c>
      <c r="B79" t="inlineStr">
        <is>
          <t>03 - Machine Learning</t>
        </is>
      </c>
      <c r="C79" t="inlineStr">
        <is>
          <t>Práctica 3 — Modelo final, afinado y conclusiones</t>
        </is>
      </c>
      <c r="D79" t="inlineStr">
        <is>
          <t>guía/rúbrica</t>
        </is>
      </c>
      <c r="E79" t="inlineStr">
        <is>
          <t>03-machine-learning/03-practicas/midterm-capstone/Peliculas/Practica_Peliculas_OK/docs/03-P3_Modelo_Final_Peliculas.md</t>
        </is>
      </c>
      <c r="F79" t="inlineStr">
        <is>
          <t>Revisar</t>
        </is>
      </c>
      <c r="G79"/>
      <c r="H79" t="inlineStr">
        <is>
          <t>Pendiente</t>
        </is>
      </c>
      <c r="I79"/>
      <c r="J79"/>
      <c r="K79"/>
      <c r="L79"/>
      <c r="M79">
        <f>IF(AND(ISNUMBER(K79),ISNUMBER(L79)),MAX(K79-L79,0),"")</f>
      </c>
      <c r="N79"/>
      <c r="O79"/>
      <c r="P79"/>
    </row>
    <row r="80">
      <c r="A80" t="inlineStr">
        <is>
          <t>03</t>
        </is>
      </c>
      <c r="B80" t="inlineStr">
        <is>
          <t>03 - Machine Learning</t>
        </is>
      </c>
      <c r="C80" t="inlineStr">
        <is>
          <t>Anexo — Uso de GPU con cuDF y cuML (alternativa)</t>
        </is>
      </c>
      <c r="D80" t="inlineStr">
        <is>
          <t>guía/rúbrica</t>
        </is>
      </c>
      <c r="E80" t="inlineStr">
        <is>
          <t>03-machine-learning/03-practicas/midterm-capstone/Peliculas/Practica_Peliculas_OK/docs/04-ANEXO_GPU_RAPIDS.md</t>
        </is>
      </c>
      <c r="F80" t="inlineStr">
        <is>
          <t>Revisar</t>
        </is>
      </c>
      <c r="G80"/>
      <c r="H80" t="inlineStr">
        <is>
          <t>Pendiente</t>
        </is>
      </c>
      <c r="I80"/>
      <c r="J80"/>
      <c r="K80"/>
      <c r="L80"/>
      <c r="M80">
        <f>IF(AND(ISNUMBER(K80),ISNUMBER(L80)),MAX(K80-L80,0),"")</f>
      </c>
      <c r="N80"/>
      <c r="O80"/>
      <c r="P80"/>
    </row>
    <row r="81">
      <c r="A81" t="inlineStr">
        <is>
          <t>03</t>
        </is>
      </c>
      <c r="B81" t="inlineStr">
        <is>
          <t>03 - Machine Learning</t>
        </is>
      </c>
      <c r="C81" t="inlineStr">
        <is>
          <t>Entrega — Proyecto de análisis y modelado de películas</t>
        </is>
      </c>
      <c r="D81" t="inlineStr">
        <is>
          <t>guía/rúbrica</t>
        </is>
      </c>
      <c r="E81" t="inlineStr">
        <is>
          <t>03-machine-learning/03-practicas/midterm-capstone/Peliculas/Practica_Peliculas_OK/docs/05-Plantilla_Entrega_tipo_SBD.md</t>
        </is>
      </c>
      <c r="F81" t="inlineStr">
        <is>
          <t>Revisar</t>
        </is>
      </c>
      <c r="G81"/>
      <c r="H81" t="inlineStr">
        <is>
          <t>Pendiente</t>
        </is>
      </c>
      <c r="I81"/>
      <c r="J81"/>
      <c r="K81"/>
      <c r="L81"/>
      <c r="M81">
        <f>IF(AND(ISNUMBER(K81),ISNUMBER(L81)),MAX(K81-L81,0),"")</f>
      </c>
      <c r="N81"/>
      <c r="O81"/>
      <c r="P81"/>
    </row>
    <row r="82">
      <c r="A82" t="inlineStr">
        <is>
          <t>03</t>
        </is>
      </c>
      <c r="B82" t="inlineStr">
        <is>
          <t>03 - Machine Learning</t>
        </is>
      </c>
      <c r="C82" t="inlineStr">
        <is>
          <t>P1 EDA Base</t>
        </is>
      </c>
      <c r="D82" t="inlineStr">
        <is>
          <t>notebook</t>
        </is>
      </c>
      <c r="E82" t="inlineStr">
        <is>
          <t>03-machine-learning/03-practicas/midterm-capstone/Peliculas/Practica_Peliculas_OK/notebooks/alumno/P1_EDA_base.ipynb</t>
        </is>
      </c>
      <c r="F82" t="inlineStr">
        <is>
          <t>Revisar</t>
        </is>
      </c>
      <c r="G82"/>
      <c r="H82" t="inlineStr">
        <is>
          <t>Pendiente</t>
        </is>
      </c>
      <c r="I82"/>
      <c r="J82"/>
      <c r="K82"/>
      <c r="L82"/>
      <c r="M82">
        <f>IF(AND(ISNUMBER(K82),ISNUMBER(L82)),MAX(K82-L82,0),"")</f>
      </c>
      <c r="N82"/>
      <c r="O82"/>
      <c r="P82"/>
    </row>
    <row r="83">
      <c r="A83" t="inlineStr">
        <is>
          <t>03</t>
        </is>
      </c>
      <c r="B83" t="inlineStr">
        <is>
          <t>03 - Machine Learning</t>
        </is>
      </c>
      <c r="C83" t="inlineStr">
        <is>
          <t>P2 PyCaret Base</t>
        </is>
      </c>
      <c r="D83" t="inlineStr">
        <is>
          <t>notebook</t>
        </is>
      </c>
      <c r="E83" t="inlineStr">
        <is>
          <t>03-machine-learning/03-practicas/midterm-capstone/Peliculas/Practica_Peliculas_OK/notebooks/alumno/P2_PyCaret_base.ipynb</t>
        </is>
      </c>
      <c r="F83" t="inlineStr">
        <is>
          <t>Revisar</t>
        </is>
      </c>
      <c r="G83"/>
      <c r="H83" t="inlineStr">
        <is>
          <t>Pendiente</t>
        </is>
      </c>
      <c r="I83"/>
      <c r="J83"/>
      <c r="K83"/>
      <c r="L83"/>
      <c r="M83">
        <f>IF(AND(ISNUMBER(K83),ISNUMBER(L83)),MAX(K83-L83,0),"")</f>
      </c>
      <c r="N83"/>
      <c r="O83"/>
      <c r="P83"/>
    </row>
    <row r="84">
      <c r="A84" t="inlineStr">
        <is>
          <t>03</t>
        </is>
      </c>
      <c r="B84" t="inlineStr">
        <is>
          <t>03 - Machine Learning</t>
        </is>
      </c>
      <c r="C84" t="inlineStr">
        <is>
          <t>P3 Modelo Base</t>
        </is>
      </c>
      <c r="D84" t="inlineStr">
        <is>
          <t>notebook</t>
        </is>
      </c>
      <c r="E84" t="inlineStr">
        <is>
          <t>03-machine-learning/03-practicas/midterm-capstone/Peliculas/Practica_Peliculas_OK/notebooks/alumno/P3_Modelo_base.ipynb</t>
        </is>
      </c>
      <c r="F84" t="inlineStr">
        <is>
          <t>Revisar</t>
        </is>
      </c>
      <c r="G84"/>
      <c r="H84" t="inlineStr">
        <is>
          <t>Pendiente</t>
        </is>
      </c>
      <c r="I84"/>
      <c r="J84"/>
      <c r="K84"/>
      <c r="L84"/>
      <c r="M84">
        <f>IF(AND(ISNUMBER(K84),ISNUMBER(L84)),MAX(K84-L84,0),"")</f>
      </c>
      <c r="N84"/>
      <c r="O84"/>
      <c r="P84"/>
    </row>
    <row r="85">
      <c r="A85" t="inlineStr">
        <is>
          <t>03</t>
        </is>
      </c>
      <c r="B85" t="inlineStr">
        <is>
          <t>03 - Machine Learning</t>
        </is>
      </c>
      <c r="C85" t="inlineStr">
        <is>
          <t>P1 EDA Sol</t>
        </is>
      </c>
      <c r="D85" t="inlineStr">
        <is>
          <t>notebook</t>
        </is>
      </c>
      <c r="E85" t="inlineStr">
        <is>
          <t>03-machine-learning/03-practicas/midterm-capstone/Peliculas/Practica_Peliculas_OK/notebooks/profesor/P1_EDA_sol.ipynb</t>
        </is>
      </c>
      <c r="F85" t="inlineStr">
        <is>
          <t>Revisar</t>
        </is>
      </c>
      <c r="G85"/>
      <c r="H85" t="inlineStr">
        <is>
          <t>Pendiente</t>
        </is>
      </c>
      <c r="I85"/>
      <c r="J85"/>
      <c r="K85"/>
      <c r="L85"/>
      <c r="M85">
        <f>IF(AND(ISNUMBER(K85),ISNUMBER(L85)),MAX(K85-L85,0),"")</f>
      </c>
      <c r="N85"/>
      <c r="O85"/>
      <c r="P85"/>
    </row>
    <row r="86">
      <c r="A86" t="inlineStr">
        <is>
          <t>03</t>
        </is>
      </c>
      <c r="B86" t="inlineStr">
        <is>
          <t>03 - Machine Learning</t>
        </is>
      </c>
      <c r="C86" t="inlineStr">
        <is>
          <t>P2 PyCaret Sol</t>
        </is>
      </c>
      <c r="D86" t="inlineStr">
        <is>
          <t>notebook</t>
        </is>
      </c>
      <c r="E86" t="inlineStr">
        <is>
          <t>03-machine-learning/03-practicas/midterm-capstone/Peliculas/Practica_Peliculas_OK/notebooks/profesor/P2_PyCaret_sol.ipynb</t>
        </is>
      </c>
      <c r="F86" t="inlineStr">
        <is>
          <t>Revisar</t>
        </is>
      </c>
      <c r="G86"/>
      <c r="H86" t="inlineStr">
        <is>
          <t>Pendiente</t>
        </is>
      </c>
      <c r="I86"/>
      <c r="J86"/>
      <c r="K86"/>
      <c r="L86"/>
      <c r="M86">
        <f>IF(AND(ISNUMBER(K86),ISNUMBER(L86)),MAX(K86-L86,0),"")</f>
      </c>
      <c r="N86"/>
      <c r="O86"/>
      <c r="P86"/>
    </row>
    <row r="87">
      <c r="A87" t="inlineStr">
        <is>
          <t>03</t>
        </is>
      </c>
      <c r="B87" t="inlineStr">
        <is>
          <t>03 - Machine Learning</t>
        </is>
      </c>
      <c r="C87" t="inlineStr">
        <is>
          <t>P3 Modelo Sol</t>
        </is>
      </c>
      <c r="D87" t="inlineStr">
        <is>
          <t>notebook</t>
        </is>
      </c>
      <c r="E87" t="inlineStr">
        <is>
          <t>03-machine-learning/03-practicas/midterm-capstone/Peliculas/Practica_Peliculas_OK/notebooks/profesor/P3_Modelo_sol.ipynb</t>
        </is>
      </c>
      <c r="F87" t="inlineStr">
        <is>
          <t>Revisar</t>
        </is>
      </c>
      <c r="G87"/>
      <c r="H87" t="inlineStr">
        <is>
          <t>Pendiente</t>
        </is>
      </c>
      <c r="I87"/>
      <c r="J87"/>
      <c r="K87"/>
      <c r="L87"/>
      <c r="M87">
        <f>IF(AND(ISNUMBER(K87),ISNUMBER(L87)),MAX(K87-L87,0),"")</f>
      </c>
      <c r="N87"/>
      <c r="O87"/>
      <c r="P87"/>
    </row>
    <row r="88">
      <c r="A88" t="inlineStr">
        <is>
          <t>03</t>
        </is>
      </c>
      <c r="B88" t="inlineStr">
        <is>
          <t>03 - Machine Learning</t>
        </is>
      </c>
      <c r="C88" t="inlineStr">
        <is>
          <t>📘 Actividad Práctica – Preparación de Datos y Modelado para Clasificación</t>
        </is>
      </c>
      <c r="D88" t="inlineStr">
        <is>
          <t>guía/rúbrica</t>
        </is>
      </c>
      <c r="E88" t="inlineStr">
        <is>
          <t>03-machine-learning/03-practicas/tarea07/00-Tarea-Eda-DataPrep-Clasif.md</t>
        </is>
      </c>
      <c r="F88" t="inlineStr">
        <is>
          <t>Revisar</t>
        </is>
      </c>
      <c r="G88"/>
      <c r="H88" t="inlineStr">
        <is>
          <t>Pendiente</t>
        </is>
      </c>
      <c r="I88"/>
      <c r="J88"/>
      <c r="K88"/>
      <c r="L88"/>
      <c r="M88">
        <f>IF(AND(ISNUMBER(K88),ISNUMBER(L88)),MAX(K88-L88,0),"")</f>
      </c>
      <c r="N88"/>
      <c r="O88"/>
      <c r="P88"/>
    </row>
    <row r="89">
      <c r="A89" t="inlineStr">
        <is>
          <t>03</t>
        </is>
      </c>
      <c r="B89" t="inlineStr">
        <is>
          <t>03 - Machine Learning</t>
        </is>
      </c>
      <c r="C89" t="inlineStr">
        <is>
          <t>Actividad Bank Marketing</t>
        </is>
      </c>
      <c r="D89" t="inlineStr">
        <is>
          <t>notebook</t>
        </is>
      </c>
      <c r="E89" t="inlineStr">
        <is>
          <t>03-machine-learning/03-practicas/tarea07/Actividad-Bank-Marketing.ipynb</t>
        </is>
      </c>
      <c r="F89" t="inlineStr">
        <is>
          <t>Revisar</t>
        </is>
      </c>
      <c r="G89"/>
      <c r="H89" t="inlineStr">
        <is>
          <t>Pendiente</t>
        </is>
      </c>
      <c r="I89"/>
      <c r="J89"/>
      <c r="K89"/>
      <c r="L89"/>
      <c r="M89">
        <f>IF(AND(ISNUMBER(K89),ISNUMBER(L89)),MAX(K89-L89,0),"")</f>
      </c>
      <c r="N89"/>
      <c r="O89"/>
      <c r="P89"/>
    </row>
    <row r="90">
      <c r="A90" t="inlineStr">
        <is>
          <t>03</t>
        </is>
      </c>
      <c r="B90" t="inlineStr">
        <is>
          <t>03 - Machine Learning</t>
        </is>
      </c>
      <c r="C90" t="inlineStr">
        <is>
          <t>Actividad Bank Marketing</t>
        </is>
      </c>
      <c r="D90" t="inlineStr">
        <is>
          <t>notebook</t>
        </is>
      </c>
      <c r="E90" t="inlineStr">
        <is>
          <t>03-machine-learning/03-practicas/tarea08/Actividad-Bank-Marketing.ipynb</t>
        </is>
      </c>
      <c r="F90" t="inlineStr">
        <is>
          <t>Revisar</t>
        </is>
      </c>
      <c r="G90"/>
      <c r="H90" t="inlineStr">
        <is>
          <t>Pendiente</t>
        </is>
      </c>
      <c r="I90"/>
      <c r="J90"/>
      <c r="K90"/>
      <c r="L90"/>
      <c r="M90">
        <f>IF(AND(ISNUMBER(K90),ISNUMBER(L90)),MAX(K90-L90,0),"")</f>
      </c>
      <c r="N90"/>
      <c r="O90"/>
      <c r="P90"/>
    </row>
    <row r="91">
      <c r="A91" t="inlineStr">
        <is>
          <t>03</t>
        </is>
      </c>
      <c r="B91" t="inlineStr">
        <is>
          <t>03 - Machine Learning</t>
        </is>
      </c>
      <c r="C91" t="inlineStr">
        <is>
          <t>📊 Rúbrica — Proyecto Dataset de Películas (PIA)</t>
        </is>
      </c>
      <c r="D91" t="inlineStr">
        <is>
          <t>guía/rúbrica</t>
        </is>
      </c>
      <c r="E91" t="inlineStr">
        <is>
          <t>03-machine-learning/04-evaluacion/06-Rubrica_Peliculas.md</t>
        </is>
      </c>
      <c r="F91" t="inlineStr">
        <is>
          <t>Sí</t>
        </is>
      </c>
      <c r="G91"/>
      <c r="H91" t="inlineStr">
        <is>
          <t>Pendiente</t>
        </is>
      </c>
      <c r="I91"/>
      <c r="J91"/>
      <c r="K91"/>
      <c r="L91"/>
      <c r="M91">
        <f>IF(AND(ISNUMBER(K91),ISNUMBER(L91)),MAX(K91-L91,0),"")</f>
      </c>
      <c r="N91"/>
      <c r="O91"/>
      <c r="P91"/>
    </row>
    <row r="92">
      <c r="A92" t="inlineStr">
        <is>
          <t>03</t>
        </is>
      </c>
      <c r="B92" t="inlineStr">
        <is>
          <t>03 - Machine Learning</t>
        </is>
      </c>
      <c r="C92" t="inlineStr">
        <is>
          <t>Cuestionario Bank Marketing</t>
        </is>
      </c>
      <c r="D92" t="inlineStr">
        <is>
          <t>cuestionario</t>
        </is>
      </c>
      <c r="E92" t="inlineStr">
        <is>
          <t>03-machine-learning/04-evaluacion/Cuestionario-Bank-Marketing.gift</t>
        </is>
      </c>
      <c r="F92" t="inlineStr">
        <is>
          <t>Sí</t>
        </is>
      </c>
      <c r="G92"/>
      <c r="H92" t="inlineStr">
        <is>
          <t>Pendiente</t>
        </is>
      </c>
      <c r="I92"/>
      <c r="J92"/>
      <c r="K92"/>
      <c r="L92"/>
      <c r="M92">
        <f>IF(AND(ISNUMBER(K92),ISNUMBER(L92)),MAX(K92-L92,0),"")</f>
      </c>
      <c r="N92"/>
      <c r="O92"/>
      <c r="P92"/>
    </row>
    <row r="93">
      <c r="A93" t="inlineStr">
        <is>
          <t>03</t>
        </is>
      </c>
      <c r="B93" t="inlineStr">
        <is>
          <t>03 - Machine Learning</t>
        </is>
      </c>
      <c r="C93" t="inlineStr">
        <is>
          <t>Evaluación — UD3 Machine Learning</t>
        </is>
      </c>
      <c r="D93" t="inlineStr">
        <is>
          <t>guía/rúbrica</t>
        </is>
      </c>
      <c r="E93" t="inlineStr">
        <is>
          <t>03-machine-learning/04-evaluacion/README.md</t>
        </is>
      </c>
      <c r="F93" t="inlineStr">
        <is>
          <t>Sí</t>
        </is>
      </c>
      <c r="G93"/>
      <c r="H93" t="inlineStr">
        <is>
          <t>Pendiente</t>
        </is>
      </c>
      <c r="I93"/>
      <c r="J93"/>
      <c r="K93"/>
      <c r="L93"/>
      <c r="M93">
        <f>IF(AND(ISNUMBER(K93),ISNUMBER(L93)),MAX(K93-L93,0),"")</f>
      </c>
      <c r="N93"/>
      <c r="O93"/>
      <c r="P93"/>
    </row>
    <row r="94">
      <c r="A94" t="inlineStr">
        <is>
          <t>03</t>
        </is>
      </c>
      <c r="B94" t="inlineStr">
        <is>
          <t>03 - Machine Learning</t>
        </is>
      </c>
      <c r="C94" t="inlineStr">
        <is>
          <t>📘 RÚBRICA ALINEADA A RA / CE — PIA</t>
        </is>
      </c>
      <c r="D94" t="inlineStr">
        <is>
          <t>guía/rúbrica</t>
        </is>
      </c>
      <c r="E94" t="inlineStr">
        <is>
          <t>03-machine-learning/04-evaluacion/RubricaPeliculas.md</t>
        </is>
      </c>
      <c r="F94" t="inlineStr">
        <is>
          <t>Sí</t>
        </is>
      </c>
      <c r="G94"/>
      <c r="H94" t="inlineStr">
        <is>
          <t>Pendiente</t>
        </is>
      </c>
      <c r="I94"/>
      <c r="J94"/>
      <c r="K94"/>
      <c r="L94"/>
      <c r="M94">
        <f>IF(AND(ISNUMBER(K94),ISNUMBER(L94)),MAX(K94-L94,0),"")</f>
      </c>
      <c r="N94"/>
      <c r="O94"/>
      <c r="P94"/>
    </row>
    <row r="95">
      <c r="A95" t="inlineStr">
        <is>
          <t>03</t>
        </is>
      </c>
      <c r="B95" t="inlineStr">
        <is>
          <t>03 - Machine Learning</t>
        </is>
      </c>
      <c r="C95" t="inlineStr">
        <is>
          <t>Checklist de entrega — UD3 Machine Learning</t>
        </is>
      </c>
      <c r="D95" t="inlineStr">
        <is>
          <t>guía/rúbrica</t>
        </is>
      </c>
      <c r="E95" t="inlineStr">
        <is>
          <t>03-machine-learning/04-evaluacion/checklist-entrega.md</t>
        </is>
      </c>
      <c r="F95" t="inlineStr">
        <is>
          <t>Sí</t>
        </is>
      </c>
      <c r="G95"/>
      <c r="H95" t="inlineStr">
        <is>
          <t>Pendiente</t>
        </is>
      </c>
      <c r="I95"/>
      <c r="J95"/>
      <c r="K95"/>
      <c r="L95"/>
      <c r="M95">
        <f>IF(AND(ISNUMBER(K95),ISNUMBER(L95)),MAX(K95-L95,0),"")</f>
      </c>
      <c r="N95"/>
      <c r="O95"/>
      <c r="P95"/>
    </row>
    <row r="96">
      <c r="A96" t="inlineStr">
        <is>
          <t>03</t>
        </is>
      </c>
      <c r="B96" t="inlineStr">
        <is>
          <t>03 - Machine Learning</t>
        </is>
      </c>
      <c r="C96" t="inlineStr">
        <is>
          <t>Rúbrica de Evaluación – Proyecto de Dataset Personalizado</t>
        </is>
      </c>
      <c r="D96" t="inlineStr">
        <is>
          <t>guía/rúbrica</t>
        </is>
      </c>
      <c r="E96" t="inlineStr">
        <is>
          <t>03-machine-learning/04-evaluacion/rubrica_datasets_peliculas.md</t>
        </is>
      </c>
      <c r="F96" t="inlineStr">
        <is>
          <t>Sí</t>
        </is>
      </c>
      <c r="G96"/>
      <c r="H96" t="inlineStr">
        <is>
          <t>Pendiente</t>
        </is>
      </c>
      <c r="I96"/>
      <c r="J96"/>
      <c r="K96"/>
      <c r="L96"/>
      <c r="M96">
        <f>IF(AND(ISNUMBER(K96),ISNUMBER(L96)),MAX(K96-L96,0),"")</f>
      </c>
      <c r="N96"/>
      <c r="O96"/>
      <c r="P96"/>
    </row>
    <row r="97">
      <c r="A97" t="inlineStr">
        <is>
          <t>04</t>
        </is>
      </c>
      <c r="B97" t="inlineStr">
        <is>
          <t>04 - Deep Learning</t>
        </is>
      </c>
      <c r="C97" t="inlineStr">
        <is>
          <t>🧪 RÚBRICA — LABORATORIO 1</t>
        </is>
      </c>
      <c r="D97" t="inlineStr">
        <is>
          <t>guía/rúbrica</t>
        </is>
      </c>
      <c r="E97" t="inlineStr">
        <is>
          <t>04-deep-learning/03-practicas/laboratorios/Laboratorio1/TensorFlowPlayGround-Rubrica.md</t>
        </is>
      </c>
      <c r="F97" t="inlineStr">
        <is>
          <t>Revisar</t>
        </is>
      </c>
      <c r="G97"/>
      <c r="H97" t="inlineStr">
        <is>
          <t>Pendiente</t>
        </is>
      </c>
      <c r="I97"/>
      <c r="J97"/>
      <c r="K97"/>
      <c r="L97"/>
      <c r="M97">
        <f>IF(AND(ISNUMBER(K97),ISNUMBER(L97)),MAX(K97-L97,0),"")</f>
      </c>
      <c r="N97"/>
      <c r="O97"/>
      <c r="P97"/>
    </row>
    <row r="98">
      <c r="A98" t="inlineStr">
        <is>
          <t>04</t>
        </is>
      </c>
      <c r="B98" t="inlineStr">
        <is>
          <t>04 - Deep Learning</t>
        </is>
      </c>
      <c r="C98" t="inlineStr">
        <is>
          <t>Entrega — Laboratorio TensorFlow Playground</t>
        </is>
      </c>
      <c r="D98" t="inlineStr">
        <is>
          <t>guía/rúbrica</t>
        </is>
      </c>
      <c r="E98" t="inlineStr">
        <is>
          <t>04-deep-learning/03-practicas/laboratorios/Laboratorio1/TensorFlowPlayGround_Entrega.md</t>
        </is>
      </c>
      <c r="F98" t="inlineStr">
        <is>
          <t>Revisar</t>
        </is>
      </c>
      <c r="G98"/>
      <c r="H98" t="inlineStr">
        <is>
          <t>Pendiente</t>
        </is>
      </c>
      <c r="I98"/>
      <c r="J98"/>
      <c r="K98"/>
      <c r="L98"/>
      <c r="M98">
        <f>IF(AND(ISNUMBER(K98),ISNUMBER(L98)),MAX(K98-L98,0),"")</f>
      </c>
      <c r="N98"/>
      <c r="O98"/>
      <c r="P98"/>
    </row>
    <row r="99">
      <c r="A99" t="inlineStr">
        <is>
          <t>04</t>
        </is>
      </c>
      <c r="B99" t="inlineStr">
        <is>
          <t>04 - Deep Learning</t>
        </is>
      </c>
      <c r="C99" t="inlineStr">
        <is>
          <t>Tf Playground Datasets</t>
        </is>
      </c>
      <c r="D99" t="inlineStr">
        <is>
          <t>notebook</t>
        </is>
      </c>
      <c r="E99" t="inlineStr">
        <is>
          <t>04-deep-learning/03-practicas/laboratorios/Laboratorio1/tf-playground-datasets.ipynb</t>
        </is>
      </c>
      <c r="F99" t="inlineStr">
        <is>
          <t>Revisar</t>
        </is>
      </c>
      <c r="G99"/>
      <c r="H99" t="inlineStr">
        <is>
          <t>Pendiente</t>
        </is>
      </c>
      <c r="I99"/>
      <c r="J99"/>
      <c r="K99"/>
      <c r="L99"/>
      <c r="M99">
        <f>IF(AND(ISNUMBER(K99),ISNUMBER(L99)),MAX(K99-L99,0),"")</f>
      </c>
      <c r="N99"/>
      <c r="O99"/>
      <c r="P99"/>
    </row>
    <row r="100">
      <c r="A100" t="inlineStr">
        <is>
          <t>04</t>
        </is>
      </c>
      <c r="B100" t="inlineStr">
        <is>
          <t>04 - Deep Learning</t>
        </is>
      </c>
      <c r="C100" t="inlineStr">
        <is>
          <t>📄 Entrega — Laboratorio 2</t>
        </is>
      </c>
      <c r="D100" t="inlineStr">
        <is>
          <t>guía/rúbrica</t>
        </is>
      </c>
      <c r="E100" t="inlineStr">
        <is>
          <t>04-deep-learning/03-practicas/laboratorios/Laboratorio2/EstudioImplementacionBackpropagation-Entrega.md</t>
        </is>
      </c>
      <c r="F100" t="inlineStr">
        <is>
          <t>Revisar</t>
        </is>
      </c>
      <c r="G100"/>
      <c r="H100" t="inlineStr">
        <is>
          <t>Pendiente</t>
        </is>
      </c>
      <c r="I100"/>
      <c r="J100"/>
      <c r="K100"/>
      <c r="L100"/>
      <c r="M100">
        <f>IF(AND(ISNUMBER(K100),ISNUMBER(L100)),MAX(K100-L100,0),"")</f>
      </c>
      <c r="N100"/>
      <c r="O100"/>
      <c r="P100"/>
    </row>
    <row r="101">
      <c r="A101" t="inlineStr">
        <is>
          <t>04</t>
        </is>
      </c>
      <c r="B101" t="inlineStr">
        <is>
          <t>04 - Deep Learning</t>
        </is>
      </c>
      <c r="C101" t="inlineStr">
        <is>
          <t>🧪 RÚBRICA — LABORATORIO 2</t>
        </is>
      </c>
      <c r="D101" t="inlineStr">
        <is>
          <t>guía/rúbrica</t>
        </is>
      </c>
      <c r="E101" t="inlineStr">
        <is>
          <t>04-deep-learning/03-practicas/laboratorios/Laboratorio2/EstudioImplementacionBackpropagation-Rubrica.md</t>
        </is>
      </c>
      <c r="F101" t="inlineStr">
        <is>
          <t>Revisar</t>
        </is>
      </c>
      <c r="G101"/>
      <c r="H101" t="inlineStr">
        <is>
          <t>Pendiente</t>
        </is>
      </c>
      <c r="I101"/>
      <c r="J101"/>
      <c r="K101"/>
      <c r="L101"/>
      <c r="M101">
        <f>IF(AND(ISNUMBER(K101),ISNUMBER(L101)),MAX(K101-L101,0),"")</f>
      </c>
      <c r="N101"/>
      <c r="O101"/>
      <c r="P101"/>
    </row>
    <row r="102">
      <c r="A102" t="inlineStr">
        <is>
          <t>04</t>
        </is>
      </c>
      <c r="B102" t="inlineStr">
        <is>
          <t>04 - Deep Learning</t>
        </is>
      </c>
      <c r="C102" t="inlineStr">
        <is>
          <t>backPropScratch</t>
        </is>
      </c>
      <c r="D102" t="inlineStr">
        <is>
          <t>script</t>
        </is>
      </c>
      <c r="E102" t="inlineStr">
        <is>
          <t>04-deep-learning/03-practicas/laboratorios/Laboratorio2/backPropScratch.py</t>
        </is>
      </c>
      <c r="F102" t="inlineStr">
        <is>
          <t>Revisar</t>
        </is>
      </c>
      <c r="G102"/>
      <c r="H102" t="inlineStr">
        <is>
          <t>Pendiente</t>
        </is>
      </c>
      <c r="I102"/>
      <c r="J102"/>
      <c r="K102"/>
      <c r="L102"/>
      <c r="M102">
        <f>IF(AND(ISNUMBER(K102),ISNUMBER(L102)),MAX(K102-L102,0),"")</f>
      </c>
      <c r="N102"/>
      <c r="O102"/>
      <c r="P102"/>
    </row>
    <row r="103">
      <c r="A103" t="inlineStr">
        <is>
          <t>04</t>
        </is>
      </c>
      <c r="B103" t="inlineStr">
        <is>
          <t>04 - Deep Learning</t>
        </is>
      </c>
      <c r="C103" t="inlineStr">
        <is>
          <t>backpropagationRNAscratch</t>
        </is>
      </c>
      <c r="D103" t="inlineStr">
        <is>
          <t>script</t>
        </is>
      </c>
      <c r="E103" t="inlineStr">
        <is>
          <t>04-deep-learning/03-practicas/laboratorios/Laboratorio2/backpropagationRNAscratch.py</t>
        </is>
      </c>
      <c r="F103" t="inlineStr">
        <is>
          <t>Revisar</t>
        </is>
      </c>
      <c r="G103"/>
      <c r="H103" t="inlineStr">
        <is>
          <t>Pendiente</t>
        </is>
      </c>
      <c r="I103"/>
      <c r="J103"/>
      <c r="K103"/>
      <c r="L103"/>
      <c r="M103">
        <f>IF(AND(ISNUMBER(K103),ISNUMBER(L103)),MAX(K103-L103,0),"")</f>
      </c>
      <c r="N103"/>
      <c r="O103"/>
      <c r="P103"/>
    </row>
    <row r="104">
      <c r="A104" t="inlineStr">
        <is>
          <t>04</t>
        </is>
      </c>
      <c r="B104" t="inlineStr">
        <is>
          <t>04 - Deep Learning</t>
        </is>
      </c>
      <c r="C104" t="inlineStr">
        <is>
          <t>📄 Entrega — Laboratorio 3</t>
        </is>
      </c>
      <c r="D104" t="inlineStr">
        <is>
          <t>guía/rúbrica</t>
        </is>
      </c>
      <c r="E104" t="inlineStr">
        <is>
          <t>04-deep-learning/03-practicas/laboratorios/Laboratorio3/DePlayground_a_CodigoReal-Entrega.md</t>
        </is>
      </c>
      <c r="F104" t="inlineStr">
        <is>
          <t>Revisar</t>
        </is>
      </c>
      <c r="G104"/>
      <c r="H104" t="inlineStr">
        <is>
          <t>Pendiente</t>
        </is>
      </c>
      <c r="I104"/>
      <c r="J104"/>
      <c r="K104"/>
      <c r="L104"/>
      <c r="M104">
        <f>IF(AND(ISNUMBER(K104),ISNUMBER(L104)),MAX(K104-L104,0),"")</f>
      </c>
      <c r="N104"/>
      <c r="O104"/>
      <c r="P104"/>
    </row>
    <row r="105">
      <c r="A105" t="inlineStr">
        <is>
          <t>04</t>
        </is>
      </c>
      <c r="B105" t="inlineStr">
        <is>
          <t>04 - Deep Learning</t>
        </is>
      </c>
      <c r="C105" t="inlineStr">
        <is>
          <t>🧪 RÚBRICA — LABORATORIO 3</t>
        </is>
      </c>
      <c r="D105" t="inlineStr">
        <is>
          <t>guía/rúbrica</t>
        </is>
      </c>
      <c r="E105" t="inlineStr">
        <is>
          <t>04-deep-learning/03-practicas/laboratorios/Laboratorio3/DePlayground_a_CodigoReal-Rubrica.md</t>
        </is>
      </c>
      <c r="F105" t="inlineStr">
        <is>
          <t>Revisar</t>
        </is>
      </c>
      <c r="G105"/>
      <c r="H105" t="inlineStr">
        <is>
          <t>Pendiente</t>
        </is>
      </c>
      <c r="I105"/>
      <c r="J105"/>
      <c r="K105"/>
      <c r="L105"/>
      <c r="M105">
        <f>IF(AND(ISNUMBER(K105),ISNUMBER(L105)),MAX(K105-L105,0),"")</f>
      </c>
      <c r="N105"/>
      <c r="O105"/>
      <c r="P105"/>
    </row>
    <row r="106">
      <c r="A106" t="inlineStr">
        <is>
          <t>04</t>
        </is>
      </c>
      <c r="B106" t="inlineStr">
        <is>
          <t>04 - Deep Learning</t>
        </is>
      </c>
      <c r="C106" t="inlineStr">
        <is>
          <t>🧪 Laboratorio Puente — Del Playground al Código Real</t>
        </is>
      </c>
      <c r="D106" t="inlineStr">
        <is>
          <t>guía/rúbrica</t>
        </is>
      </c>
      <c r="E106" t="inlineStr">
        <is>
          <t>04-deep-learning/03-practicas/laboratorios/Laboratorio3/DePlayground_a_CodigoReal.md</t>
        </is>
      </c>
      <c r="F106" t="inlineStr">
        <is>
          <t>Revisar</t>
        </is>
      </c>
      <c r="G106"/>
      <c r="H106" t="inlineStr">
        <is>
          <t>Pendiente</t>
        </is>
      </c>
      <c r="I106"/>
      <c r="J106"/>
      <c r="K106"/>
      <c r="L106"/>
      <c r="M106">
        <f>IF(AND(ISNUMBER(K106),ISNUMBER(L106)),MAX(K106-L106,0),"")</f>
      </c>
      <c r="N106"/>
      <c r="O106"/>
      <c r="P106"/>
    </row>
    <row r="107">
      <c r="A107" t="inlineStr">
        <is>
          <t>04</t>
        </is>
      </c>
      <c r="B107" t="inlineStr">
        <is>
          <t>04 - Deep Learning</t>
        </is>
      </c>
      <c r="C107" t="inlineStr">
        <is>
          <t>Ejemplo Keras3</t>
        </is>
      </c>
      <c r="D107" t="inlineStr">
        <is>
          <t>notebook</t>
        </is>
      </c>
      <c r="E107" t="inlineStr">
        <is>
          <t>04-deep-learning/03-practicas/modelado-notebooks/fundamentos/01_Ejemplo_Keras3.ipynb</t>
        </is>
      </c>
      <c r="F107" t="inlineStr">
        <is>
          <t>Revisar</t>
        </is>
      </c>
      <c r="G107"/>
      <c r="H107" t="inlineStr">
        <is>
          <t>Pendiente</t>
        </is>
      </c>
      <c r="I107"/>
      <c r="J107"/>
      <c r="K107"/>
      <c r="L107"/>
      <c r="M107">
        <f>IF(AND(ISNUMBER(K107),ISNUMBER(L107)),MAX(K107-L107,0),"")</f>
      </c>
      <c r="N107"/>
      <c r="O107"/>
      <c r="P107"/>
    </row>
    <row r="108">
      <c r="A108" t="inlineStr">
        <is>
          <t>04</t>
        </is>
      </c>
      <c r="B108" t="inlineStr">
        <is>
          <t>04 - Deep Learning</t>
        </is>
      </c>
      <c r="C108" t="inlineStr">
        <is>
          <t>Ejemplo PyTorch</t>
        </is>
      </c>
      <c r="D108" t="inlineStr">
        <is>
          <t>notebook</t>
        </is>
      </c>
      <c r="E108" t="inlineStr">
        <is>
          <t>04-deep-learning/03-practicas/modelado-notebooks/fundamentos/02_Ejemplo_PyTorch.ipynb</t>
        </is>
      </c>
      <c r="F108" t="inlineStr">
        <is>
          <t>Revisar</t>
        </is>
      </c>
      <c r="G108"/>
      <c r="H108" t="inlineStr">
        <is>
          <t>Pendiente</t>
        </is>
      </c>
      <c r="I108"/>
      <c r="J108"/>
      <c r="K108"/>
      <c r="L108"/>
      <c r="M108">
        <f>IF(AND(ISNUMBER(K108),ISNUMBER(L108)),MAX(K108-L108,0),"")</f>
      </c>
      <c r="N108"/>
      <c r="O108"/>
      <c r="P108"/>
    </row>
    <row r="109">
      <c r="A109" t="inlineStr">
        <is>
          <t>04</t>
        </is>
      </c>
      <c r="B109" t="inlineStr">
        <is>
          <t>04 - Deep Learning</t>
        </is>
      </c>
      <c r="C109" t="inlineStr">
        <is>
          <t>Ejemplo JAX Flax</t>
        </is>
      </c>
      <c r="D109" t="inlineStr">
        <is>
          <t>notebook</t>
        </is>
      </c>
      <c r="E109" t="inlineStr">
        <is>
          <t>04-deep-learning/03-practicas/modelado-notebooks/fundamentos/03_Ejemplo_JAX_Flax.ipynb</t>
        </is>
      </c>
      <c r="F109" t="inlineStr">
        <is>
          <t>Revisar</t>
        </is>
      </c>
      <c r="G109"/>
      <c r="H109" t="inlineStr">
        <is>
          <t>Pendiente</t>
        </is>
      </c>
      <c r="I109"/>
      <c r="J109"/>
      <c r="K109"/>
      <c r="L109"/>
      <c r="M109">
        <f>IF(AND(ISNUMBER(K109),ISNUMBER(L109)),MAX(K109-L109,0),"")</f>
      </c>
      <c r="N109"/>
      <c r="O109"/>
      <c r="P109"/>
    </row>
    <row r="110">
      <c r="A110" t="inlineStr">
        <is>
          <t>04</t>
        </is>
      </c>
      <c r="B110" t="inlineStr">
        <is>
          <t>04 - Deep Learning</t>
        </is>
      </c>
      <c r="C110" t="inlineStr">
        <is>
          <t>Ejemplo TensorFlow</t>
        </is>
      </c>
      <c r="D110" t="inlineStr">
        <is>
          <t>notebook</t>
        </is>
      </c>
      <c r="E110" t="inlineStr">
        <is>
          <t>04-deep-learning/03-practicas/modelado-notebooks/fundamentos/04_Ejemplo_TensorFlow.ipynb</t>
        </is>
      </c>
      <c r="F110" t="inlineStr">
        <is>
          <t>Revisar</t>
        </is>
      </c>
      <c r="G110"/>
      <c r="H110" t="inlineStr">
        <is>
          <t>Pendiente</t>
        </is>
      </c>
      <c r="I110"/>
      <c r="J110"/>
      <c r="K110"/>
      <c r="L110"/>
      <c r="M110">
        <f>IF(AND(ISNUMBER(K110),ISNUMBER(L110)),MAX(K110-L110,0),"")</f>
      </c>
      <c r="N110"/>
      <c r="O110"/>
      <c r="P110"/>
    </row>
    <row r="111">
      <c r="A111" t="inlineStr">
        <is>
          <t>04</t>
        </is>
      </c>
      <c r="B111" t="inlineStr">
        <is>
          <t>04 - Deep Learning</t>
        </is>
      </c>
      <c r="C111" t="inlineStr">
        <is>
          <t>TF Data API</t>
        </is>
      </c>
      <c r="D111" t="inlineStr">
        <is>
          <t>notebook</t>
        </is>
      </c>
      <c r="E111" t="inlineStr">
        <is>
          <t>04-deep-learning/03-practicas/modelado-notebooks/fundamentos/TF_data_API.ipynb</t>
        </is>
      </c>
      <c r="F111" t="inlineStr">
        <is>
          <t>Revisar</t>
        </is>
      </c>
      <c r="G111"/>
      <c r="H111" t="inlineStr">
        <is>
          <t>Pendiente</t>
        </is>
      </c>
      <c r="I111"/>
      <c r="J111"/>
      <c r="K111"/>
      <c r="L111"/>
      <c r="M111">
        <f>IF(AND(ISNUMBER(K111),ISNUMBER(L111)),MAX(K111-L111,0),"")</f>
      </c>
      <c r="N111"/>
      <c r="O111"/>
      <c r="P111"/>
    </row>
    <row r="112">
      <c r="A112" t="inlineStr">
        <is>
          <t>04</t>
        </is>
      </c>
      <c r="B112" t="inlineStr">
        <is>
          <t>04 - Deep Learning</t>
        </is>
      </c>
      <c r="C112" t="inlineStr">
        <is>
          <t>**Explicación del código en PyTorch (Primer Ejemplo)**</t>
        </is>
      </c>
      <c r="D112" t="inlineStr">
        <is>
          <t>guía/rúbrica</t>
        </is>
      </c>
      <c r="E112" t="inlineStr">
        <is>
          <t>04-deep-learning/03-practicas/modelado-proyectos/boston-housing/docs/BostonHousing-1.md</t>
        </is>
      </c>
      <c r="F112" t="inlineStr">
        <is>
          <t>Revisar</t>
        </is>
      </c>
      <c r="G112"/>
      <c r="H112" t="inlineStr">
        <is>
          <t>Pendiente</t>
        </is>
      </c>
      <c r="I112"/>
      <c r="J112"/>
      <c r="K112"/>
      <c r="L112"/>
      <c r="M112">
        <f>IF(AND(ISNUMBER(K112),ISNUMBER(L112)),MAX(K112-L112,0),"")</f>
      </c>
      <c r="N112"/>
      <c r="O112"/>
      <c r="P112"/>
    </row>
    <row r="113">
      <c r="A113" t="inlineStr">
        <is>
          <t>04</t>
        </is>
      </c>
      <c r="B113" t="inlineStr">
        <is>
          <t>04 - Deep Learning</t>
        </is>
      </c>
      <c r="C113" t="inlineStr">
        <is>
          <t>**Explicación del código en PyTorch (Segundo Ejemplo)**</t>
        </is>
      </c>
      <c r="D113" t="inlineStr">
        <is>
          <t>guía/rúbrica</t>
        </is>
      </c>
      <c r="E113" t="inlineStr">
        <is>
          <t>04-deep-learning/03-practicas/modelado-proyectos/boston-housing/docs/BostonHousing-2.md</t>
        </is>
      </c>
      <c r="F113" t="inlineStr">
        <is>
          <t>Revisar</t>
        </is>
      </c>
      <c r="G113"/>
      <c r="H113" t="inlineStr">
        <is>
          <t>Pendiente</t>
        </is>
      </c>
      <c r="I113"/>
      <c r="J113"/>
      <c r="K113"/>
      <c r="L113"/>
      <c r="M113">
        <f>IF(AND(ISNUMBER(K113),ISNUMBER(L113)),MAX(K113-L113,0),"")</f>
      </c>
      <c r="N113"/>
      <c r="O113"/>
      <c r="P113"/>
    </row>
    <row r="114">
      <c r="A114" t="inlineStr">
        <is>
          <t>04</t>
        </is>
      </c>
      <c r="B114" t="inlineStr">
        <is>
          <t>04 - Deep Learning</t>
        </is>
      </c>
      <c r="C114" t="inlineStr">
        <is>
          <t>bostonHousesPrice Keras</t>
        </is>
      </c>
      <c r="D114" t="inlineStr">
        <is>
          <t>script</t>
        </is>
      </c>
      <c r="E114" t="inlineStr">
        <is>
          <t>04-deep-learning/03-practicas/modelado-proyectos/boston-housing/scripts/bostonHousesPrice_Keras.py</t>
        </is>
      </c>
      <c r="F114" t="inlineStr">
        <is>
          <t>Revisar</t>
        </is>
      </c>
      <c r="G114"/>
      <c r="H114" t="inlineStr">
        <is>
          <t>Pendiente</t>
        </is>
      </c>
      <c r="I114"/>
      <c r="J114"/>
      <c r="K114"/>
      <c r="L114"/>
      <c r="M114">
        <f>IF(AND(ISNUMBER(K114),ISNUMBER(L114)),MAX(K114-L114,0),"")</f>
      </c>
      <c r="N114"/>
      <c r="O114"/>
      <c r="P114"/>
    </row>
    <row r="115">
      <c r="A115" t="inlineStr">
        <is>
          <t>04</t>
        </is>
      </c>
      <c r="B115" t="inlineStr">
        <is>
          <t>04 - Deep Learning</t>
        </is>
      </c>
      <c r="C115" t="inlineStr">
        <is>
          <t>bostonHousesPrice Pytorch</t>
        </is>
      </c>
      <c r="D115" t="inlineStr">
        <is>
          <t>script</t>
        </is>
      </c>
      <c r="E115" t="inlineStr">
        <is>
          <t>04-deep-learning/03-practicas/modelado-proyectos/boston-housing/scripts/bostonHousesPrice_Pytorch.py</t>
        </is>
      </c>
      <c r="F115" t="inlineStr">
        <is>
          <t>Revisar</t>
        </is>
      </c>
      <c r="G115"/>
      <c r="H115" t="inlineStr">
        <is>
          <t>Pendiente</t>
        </is>
      </c>
      <c r="I115"/>
      <c r="J115"/>
      <c r="K115"/>
      <c r="L115"/>
      <c r="M115">
        <f>IF(AND(ISNUMBER(K115),ISNUMBER(L115)),MAX(K115-L115,0),"")</f>
      </c>
      <c r="N115"/>
      <c r="O115"/>
      <c r="P115"/>
    </row>
    <row r="116">
      <c r="A116" t="inlineStr">
        <is>
          <t>04</t>
        </is>
      </c>
      <c r="B116" t="inlineStr">
        <is>
          <t>04 - Deep Learning</t>
        </is>
      </c>
      <c r="C116" t="inlineStr">
        <is>
          <t>bostonHousesPrice SciKeras</t>
        </is>
      </c>
      <c r="D116" t="inlineStr">
        <is>
          <t>script</t>
        </is>
      </c>
      <c r="E116" t="inlineStr">
        <is>
          <t>04-deep-learning/03-practicas/modelado-proyectos/boston-housing/scripts/bostonHousesPrice_SciKeras.py</t>
        </is>
      </c>
      <c r="F116" t="inlineStr">
        <is>
          <t>Revisar</t>
        </is>
      </c>
      <c r="G116"/>
      <c r="H116" t="inlineStr">
        <is>
          <t>Pendiente</t>
        </is>
      </c>
      <c r="I116"/>
      <c r="J116"/>
      <c r="K116"/>
      <c r="L116"/>
      <c r="M116">
        <f>IF(AND(ISNUMBER(K116),ISNUMBER(L116)),MAX(K116-L116,0),"")</f>
      </c>
      <c r="N116"/>
      <c r="O116"/>
      <c r="P116"/>
    </row>
    <row r="117">
      <c r="A117" t="inlineStr">
        <is>
          <t>04</t>
        </is>
      </c>
      <c r="B117" t="inlineStr">
        <is>
          <t>04 - Deep Learning</t>
        </is>
      </c>
      <c r="C117" t="inlineStr">
        <is>
          <t>bostonHousesPrice SciPytorch</t>
        </is>
      </c>
      <c r="D117" t="inlineStr">
        <is>
          <t>script</t>
        </is>
      </c>
      <c r="E117" t="inlineStr">
        <is>
          <t>04-deep-learning/03-practicas/modelado-proyectos/boston-housing/scripts/bostonHousesPrice_SciPytorch.py</t>
        </is>
      </c>
      <c r="F117" t="inlineStr">
        <is>
          <t>Revisar</t>
        </is>
      </c>
      <c r="G117"/>
      <c r="H117" t="inlineStr">
        <is>
          <t>Pendiente</t>
        </is>
      </c>
      <c r="I117"/>
      <c r="J117"/>
      <c r="K117"/>
      <c r="L117"/>
      <c r="M117">
        <f>IF(AND(ISNUMBER(K117),ISNUMBER(L117)),MAX(K117-L117,0),"")</f>
      </c>
      <c r="N117"/>
      <c r="O117"/>
      <c r="P117"/>
    </row>
    <row r="118">
      <c r="A118" t="inlineStr">
        <is>
          <t>04</t>
        </is>
      </c>
      <c r="B118" t="inlineStr">
        <is>
          <t>04 - Deep Learning</t>
        </is>
      </c>
      <c r="C118" t="inlineStr">
        <is>
          <t>euromPytorch</t>
        </is>
      </c>
      <c r="D118" t="inlineStr">
        <is>
          <t>notebook</t>
        </is>
      </c>
      <c r="E118" t="inlineStr">
        <is>
          <t>04-deep-learning/03-practicas/modelado-proyectos/euromillones/notebooks/euromPytorch.ipynb</t>
        </is>
      </c>
      <c r="F118" t="inlineStr">
        <is>
          <t>Revisar</t>
        </is>
      </c>
      <c r="G118"/>
      <c r="H118" t="inlineStr">
        <is>
          <t>Pendiente</t>
        </is>
      </c>
      <c r="I118"/>
      <c r="J118"/>
      <c r="K118"/>
      <c r="L118"/>
      <c r="M118">
        <f>IF(AND(ISNUMBER(K118),ISNUMBER(L118)),MAX(K118-L118,0),"")</f>
      </c>
      <c r="N118"/>
      <c r="O118"/>
      <c r="P118"/>
    </row>
    <row r="119">
      <c r="A119" t="inlineStr">
        <is>
          <t>04</t>
        </is>
      </c>
      <c r="B119" t="inlineStr">
        <is>
          <t>04 - Deep Learning</t>
        </is>
      </c>
      <c r="C119" t="inlineStr">
        <is>
          <t>Euromill Boosting</t>
        </is>
      </c>
      <c r="D119" t="inlineStr">
        <is>
          <t>notebook</t>
        </is>
      </c>
      <c r="E119" t="inlineStr">
        <is>
          <t>04-deep-learning/03-practicas/modelado-proyectos/euromillones/notebooks/euromill-boosting.ipynb</t>
        </is>
      </c>
      <c r="F119" t="inlineStr">
        <is>
          <t>Revisar</t>
        </is>
      </c>
      <c r="G119"/>
      <c r="H119" t="inlineStr">
        <is>
          <t>Pendiente</t>
        </is>
      </c>
      <c r="I119"/>
      <c r="J119"/>
      <c r="K119"/>
      <c r="L119"/>
      <c r="M119">
        <f>IF(AND(ISNUMBER(K119),ISNUMBER(L119)),MAX(K119-L119,0),"")</f>
      </c>
      <c r="N119"/>
      <c r="O119"/>
      <c r="P119"/>
    </row>
    <row r="120">
      <c r="A120" t="inlineStr">
        <is>
          <t>04</t>
        </is>
      </c>
      <c r="B120" t="inlineStr">
        <is>
          <t>04 - Deep Learning</t>
        </is>
      </c>
      <c r="C120" t="inlineStr">
        <is>
          <t>Euromill Premio</t>
        </is>
      </c>
      <c r="D120" t="inlineStr">
        <is>
          <t>notebook</t>
        </is>
      </c>
      <c r="E120" t="inlineStr">
        <is>
          <t>04-deep-learning/03-practicas/modelado-proyectos/euromillones/notebooks/euromill-premio.ipynb</t>
        </is>
      </c>
      <c r="F120" t="inlineStr">
        <is>
          <t>Revisar</t>
        </is>
      </c>
      <c r="G120"/>
      <c r="H120" t="inlineStr">
        <is>
          <t>Pendiente</t>
        </is>
      </c>
      <c r="I120"/>
      <c r="J120"/>
      <c r="K120"/>
      <c r="L120"/>
      <c r="M120">
        <f>IF(AND(ISNUMBER(K120),ISNUMBER(L120)),MAX(K120-L120,0),"")</f>
      </c>
      <c r="N120"/>
      <c r="O120"/>
      <c r="P120"/>
    </row>
    <row r="121">
      <c r="A121" t="inlineStr">
        <is>
          <t>04</t>
        </is>
      </c>
      <c r="B121" t="inlineStr">
        <is>
          <t>04 - Deep Learning</t>
        </is>
      </c>
      <c r="C121" t="inlineStr">
        <is>
          <t>Euromillions 3</t>
        </is>
      </c>
      <c r="D121" t="inlineStr">
        <is>
          <t>notebook</t>
        </is>
      </c>
      <c r="E121" t="inlineStr">
        <is>
          <t>04-deep-learning/03-practicas/modelado-proyectos/euromillones/notebooks/euromillions-3.ipynb</t>
        </is>
      </c>
      <c r="F121" t="inlineStr">
        <is>
          <t>Revisar</t>
        </is>
      </c>
      <c r="G121"/>
      <c r="H121" t="inlineStr">
        <is>
          <t>Pendiente</t>
        </is>
      </c>
      <c r="I121"/>
      <c r="J121"/>
      <c r="K121"/>
      <c r="L121"/>
      <c r="M121">
        <f>IF(AND(ISNUMBER(K121),ISNUMBER(L121)),MAX(K121-L121,0),"")</f>
      </c>
      <c r="N121"/>
      <c r="O121"/>
      <c r="P121"/>
    </row>
    <row r="122">
      <c r="A122" t="inlineStr">
        <is>
          <t>04</t>
        </is>
      </c>
      <c r="B122" t="inlineStr">
        <is>
          <t>04 - Deep Learning</t>
        </is>
      </c>
      <c r="C122" t="inlineStr">
        <is>
          <t>LSTM Euromillions</t>
        </is>
      </c>
      <c r="D122" t="inlineStr">
        <is>
          <t>script</t>
        </is>
      </c>
      <c r="E122" t="inlineStr">
        <is>
          <t>04-deep-learning/03-practicas/modelado-proyectos/euromillones/scripts/LSTM-euromillions.py</t>
        </is>
      </c>
      <c r="F122" t="inlineStr">
        <is>
          <t>Revisar</t>
        </is>
      </c>
      <c r="G122"/>
      <c r="H122" t="inlineStr">
        <is>
          <t>Pendiente</t>
        </is>
      </c>
      <c r="I122"/>
      <c r="J122"/>
      <c r="K122"/>
      <c r="L122"/>
      <c r="M122">
        <f>IF(AND(ISNUMBER(K122),ISNUMBER(L122)),MAX(K122-L122,0),"")</f>
      </c>
      <c r="N122"/>
      <c r="O122"/>
      <c r="P122"/>
    </row>
    <row r="123">
      <c r="A123" t="inlineStr">
        <is>
          <t>04</t>
        </is>
      </c>
      <c r="B123" t="inlineStr">
        <is>
          <t>04 - Deep Learning</t>
        </is>
      </c>
      <c r="C123" t="inlineStr">
        <is>
          <t>LSTM PytorchMultiVariate</t>
        </is>
      </c>
      <c r="D123" t="inlineStr">
        <is>
          <t>script</t>
        </is>
      </c>
      <c r="E123" t="inlineStr">
        <is>
          <t>04-deep-learning/03-practicas/modelado-proyectos/euromillones/scripts/LSTM_PytorchMultiVariate.py</t>
        </is>
      </c>
      <c r="F123" t="inlineStr">
        <is>
          <t>Revisar</t>
        </is>
      </c>
      <c r="G123"/>
      <c r="H123" t="inlineStr">
        <is>
          <t>Pendiente</t>
        </is>
      </c>
      <c r="I123"/>
      <c r="J123"/>
      <c r="K123"/>
      <c r="L123"/>
      <c r="M123">
        <f>IF(AND(ISNUMBER(K123),ISNUMBER(L123)),MAX(K123-L123,0),"")</f>
      </c>
      <c r="N123"/>
      <c r="O123"/>
      <c r="P123"/>
    </row>
    <row r="124">
      <c r="A124" t="inlineStr">
        <is>
          <t>04</t>
        </is>
      </c>
      <c r="B124" t="inlineStr">
        <is>
          <t>04 - Deep Learning</t>
        </is>
      </c>
      <c r="C124" t="inlineStr">
        <is>
          <t>LSTM PytorchUniVariate</t>
        </is>
      </c>
      <c r="D124" t="inlineStr">
        <is>
          <t>script</t>
        </is>
      </c>
      <c r="E124" t="inlineStr">
        <is>
          <t>04-deep-learning/03-practicas/modelado-proyectos/euromillones/scripts/LSTM_PytorchUniVariate.py</t>
        </is>
      </c>
      <c r="F124" t="inlineStr">
        <is>
          <t>Revisar</t>
        </is>
      </c>
      <c r="G124"/>
      <c r="H124" t="inlineStr">
        <is>
          <t>Pendiente</t>
        </is>
      </c>
      <c r="I124"/>
      <c r="J124"/>
      <c r="K124"/>
      <c r="L124"/>
      <c r="M124">
        <f>IF(AND(ISNUMBER(K124),ISNUMBER(L124)),MAX(K124-L124,0),"")</f>
      </c>
      <c r="N124"/>
      <c r="O124"/>
      <c r="P124"/>
    </row>
    <row r="125">
      <c r="A125" t="inlineStr">
        <is>
          <t>04</t>
        </is>
      </c>
      <c r="B125" t="inlineStr">
        <is>
          <t>04 - Deep Learning</t>
        </is>
      </c>
      <c r="C125" t="inlineStr">
        <is>
          <t>Keras Notebook2</t>
        </is>
      </c>
      <c r="D125" t="inlineStr">
        <is>
          <t>notebook</t>
        </is>
      </c>
      <c r="E125" t="inlineStr">
        <is>
          <t>04-deep-learning/03-practicas/modelado-proyectos/used-cars-dl-tabular/notebooks/keras_notebook2.ipynb</t>
        </is>
      </c>
      <c r="F125" t="inlineStr">
        <is>
          <t>Revisar</t>
        </is>
      </c>
      <c r="G125"/>
      <c r="H125" t="inlineStr">
        <is>
          <t>Pendiente</t>
        </is>
      </c>
      <c r="I125"/>
      <c r="J125"/>
      <c r="K125"/>
      <c r="L125"/>
      <c r="M125">
        <f>IF(AND(ISNUMBER(K125),ISNUMBER(L125)),MAX(K125-L125,0),"")</f>
      </c>
      <c r="N125"/>
      <c r="O125"/>
      <c r="P125"/>
    </row>
    <row r="126">
      <c r="A126" t="inlineStr">
        <is>
          <t>04</t>
        </is>
      </c>
      <c r="B126" t="inlineStr">
        <is>
          <t>04 - Deep Learning</t>
        </is>
      </c>
      <c r="C126" t="inlineStr">
        <is>
          <t>Pytorch Notebook</t>
        </is>
      </c>
      <c r="D126" t="inlineStr">
        <is>
          <t>notebook</t>
        </is>
      </c>
      <c r="E126" t="inlineStr">
        <is>
          <t>04-deep-learning/03-practicas/modelado-proyectos/used-cars-dl-tabular/notebooks/pytorch_notebook.ipynb</t>
        </is>
      </c>
      <c r="F126" t="inlineStr">
        <is>
          <t>Revisar</t>
        </is>
      </c>
      <c r="G126"/>
      <c r="H126" t="inlineStr">
        <is>
          <t>Pendiente</t>
        </is>
      </c>
      <c r="I126"/>
      <c r="J126"/>
      <c r="K126"/>
      <c r="L126"/>
      <c r="M126">
        <f>IF(AND(ISNUMBER(K126),ISNUMBER(L126)),MAX(K126-L126,0),"")</f>
      </c>
      <c r="N126"/>
      <c r="O126"/>
      <c r="P126"/>
    </row>
    <row r="127">
      <c r="A127" t="inlineStr">
        <is>
          <t>04</t>
        </is>
      </c>
      <c r="B127" t="inlineStr">
        <is>
          <t>04 - Deep Learning</t>
        </is>
      </c>
      <c r="C127" t="inlineStr">
        <is>
          <t>Tf Keras Notebook</t>
        </is>
      </c>
      <c r="D127" t="inlineStr">
        <is>
          <t>notebook</t>
        </is>
      </c>
      <c r="E127" t="inlineStr">
        <is>
          <t>04-deep-learning/03-practicas/modelado-proyectos/used-cars-dl-tabular/notebooks/tf_keras_notebook.ipynb</t>
        </is>
      </c>
      <c r="F127" t="inlineStr">
        <is>
          <t>Revisar</t>
        </is>
      </c>
      <c r="G127"/>
      <c r="H127" t="inlineStr">
        <is>
          <t>Pendiente</t>
        </is>
      </c>
      <c r="I127"/>
      <c r="J127"/>
      <c r="K127"/>
      <c r="L127"/>
      <c r="M127">
        <f>IF(AND(ISNUMBER(K127),ISNUMBER(L127)),MAX(K127-L127,0),"")</f>
      </c>
      <c r="N127"/>
      <c r="O127"/>
      <c r="P127"/>
    </row>
    <row r="128">
      <c r="A128" t="inlineStr">
        <is>
          <t>04</t>
        </is>
      </c>
      <c r="B128" t="inlineStr">
        <is>
          <t>04 - Deep Learning</t>
        </is>
      </c>
      <c r="C128" t="inlineStr">
        <is>
          <t>Evaluación — UD4 Deep Learning</t>
        </is>
      </c>
      <c r="D128" t="inlineStr">
        <is>
          <t>guía/rúbrica</t>
        </is>
      </c>
      <c r="E128" t="inlineStr">
        <is>
          <t>04-deep-learning/04-evaluacion/README.md</t>
        </is>
      </c>
      <c r="F128" t="inlineStr">
        <is>
          <t>Sí</t>
        </is>
      </c>
      <c r="G128"/>
      <c r="H128" t="inlineStr">
        <is>
          <t>Pendiente</t>
        </is>
      </c>
      <c r="I128"/>
      <c r="J128"/>
      <c r="K128"/>
      <c r="L128"/>
      <c r="M128">
        <f>IF(AND(ISNUMBER(K128),ISNUMBER(L128)),MAX(K128-L128,0),"")</f>
      </c>
      <c r="N128"/>
      <c r="O128"/>
      <c r="P128"/>
    </row>
    <row r="129">
      <c r="A129" t="inlineStr">
        <is>
          <t>04</t>
        </is>
      </c>
      <c r="B129" t="inlineStr">
        <is>
          <t>04 - Deep Learning</t>
        </is>
      </c>
      <c r="C129" t="inlineStr">
        <is>
          <t>Checklist de entrega — UD4 Deep Learning</t>
        </is>
      </c>
      <c r="D129" t="inlineStr">
        <is>
          <t>guía/rúbrica</t>
        </is>
      </c>
      <c r="E129" t="inlineStr">
        <is>
          <t>04-deep-learning/04-evaluacion/checklist-entrega.md</t>
        </is>
      </c>
      <c r="F129" t="inlineStr">
        <is>
          <t>Sí</t>
        </is>
      </c>
      <c r="G129"/>
      <c r="H129" t="inlineStr">
        <is>
          <t>Pendiente</t>
        </is>
      </c>
      <c r="I129"/>
      <c r="J129"/>
      <c r="K129"/>
      <c r="L129"/>
      <c r="M129">
        <f>IF(AND(ISNUMBER(K129),ISNUMBER(L129)),MAX(K129-L129,0),"")</f>
      </c>
      <c r="N129"/>
      <c r="O129"/>
      <c r="P129"/>
    </row>
    <row r="130">
      <c r="A130" t="inlineStr">
        <is>
          <t>04</t>
        </is>
      </c>
      <c r="B130" t="inlineStr">
        <is>
          <t>04 - Deep Learning</t>
        </is>
      </c>
      <c r="C130" t="inlineStr">
        <is>
          <t>Cuestionario Deep Learning</t>
        </is>
      </c>
      <c r="D130" t="inlineStr">
        <is>
          <t>cuestionario</t>
        </is>
      </c>
      <c r="E130" t="inlineStr">
        <is>
          <t>04-deep-learning/04-evaluacion/cuestionario-deep-learning.gift</t>
        </is>
      </c>
      <c r="F130" t="inlineStr">
        <is>
          <t>Sí</t>
        </is>
      </c>
      <c r="G130"/>
      <c r="H130" t="inlineStr">
        <is>
          <t>Pendiente</t>
        </is>
      </c>
      <c r="I130"/>
      <c r="J130"/>
      <c r="K130"/>
      <c r="L130"/>
      <c r="M130">
        <f>IF(AND(ISNUMBER(K130),ISNUMBER(L130)),MAX(K130-L130,0),"")</f>
      </c>
      <c r="N130"/>
      <c r="O130"/>
      <c r="P130"/>
    </row>
    <row r="131">
      <c r="A131" t="inlineStr">
        <is>
          <t>04</t>
        </is>
      </c>
      <c r="B131" t="inlineStr">
        <is>
          <t>04 - Deep Learning</t>
        </is>
      </c>
      <c r="C131" t="inlineStr">
        <is>
          <t>Rúbrica consolidada — UD4 Deep Learning</t>
        </is>
      </c>
      <c r="D131" t="inlineStr">
        <is>
          <t>guía/rúbrica</t>
        </is>
      </c>
      <c r="E131" t="inlineStr">
        <is>
          <t>04-deep-learning/04-evaluacion/rubrica.md</t>
        </is>
      </c>
      <c r="F131" t="inlineStr">
        <is>
          <t>Sí</t>
        </is>
      </c>
      <c r="G131"/>
      <c r="H131" t="inlineStr">
        <is>
          <t>Pendiente</t>
        </is>
      </c>
      <c r="I131"/>
      <c r="J131"/>
      <c r="K131"/>
      <c r="L131"/>
      <c r="M131">
        <f>IF(AND(ISNUMBER(K131),ISNUMBER(L131)),MAX(K131-L131,0),"")</f>
      </c>
      <c r="N131"/>
      <c r="O131"/>
      <c r="P131"/>
    </row>
    <row r="132">
      <c r="A132" t="inlineStr">
        <is>
          <t>05</t>
        </is>
      </c>
      <c r="B132" t="inlineStr">
        <is>
          <t>05-cloud-mlops</t>
        </is>
      </c>
      <c r="C132" t="inlineStr">
        <is>
          <t>esqueletoAWS</t>
        </is>
      </c>
      <c r="D132" t="inlineStr">
        <is>
          <t>script</t>
        </is>
      </c>
      <c r="E132" t="inlineStr">
        <is>
          <t>05-cloud-mlops/03-practicas/esqueletoAWS.py</t>
        </is>
      </c>
      <c r="F132" t="inlineStr">
        <is>
          <t>Revisar</t>
        </is>
      </c>
      <c r="G132"/>
      <c r="H132" t="inlineStr">
        <is>
          <t>Pendiente</t>
        </is>
      </c>
      <c r="I132"/>
      <c r="J132"/>
      <c r="K132"/>
      <c r="L132"/>
      <c r="M132">
        <f>IF(AND(ISNUMBER(K132),ISNUMBER(L132)),MAX(K132-L132,0),"")</f>
      </c>
      <c r="N132"/>
      <c r="O132"/>
      <c r="P132"/>
    </row>
    <row r="133">
      <c r="A133" t="inlineStr">
        <is>
          <t>05</t>
        </is>
      </c>
      <c r="B133" t="inlineStr">
        <is>
          <t>05-cloud-mlops</t>
        </is>
      </c>
      <c r="C133" t="inlineStr">
        <is>
          <t>Rúbrica de evaluación: comparativa de herramientas cloud para IA</t>
        </is>
      </c>
      <c r="D133" t="inlineStr">
        <is>
          <t>guía/rúbrica</t>
        </is>
      </c>
      <c r="E133" t="inlineStr">
        <is>
          <t>05-cloud-mlops/03-practicas/rubrica-tarea.md</t>
        </is>
      </c>
      <c r="F133" t="inlineStr">
        <is>
          <t>Revisar</t>
        </is>
      </c>
      <c r="G133"/>
      <c r="H133" t="inlineStr">
        <is>
          <t>Pendiente</t>
        </is>
      </c>
      <c r="I133"/>
      <c r="J133"/>
      <c r="K133"/>
      <c r="L133"/>
      <c r="M133">
        <f>IF(AND(ISNUMBER(K133),ISNUMBER(L133)),MAX(K133-L133,0),"")</f>
      </c>
      <c r="N133"/>
      <c r="O133"/>
      <c r="P133"/>
    </row>
    <row r="134">
      <c r="A134" t="inlineStr">
        <is>
          <t>05</t>
        </is>
      </c>
      <c r="B134" t="inlineStr">
        <is>
          <t>05-cloud-mlops</t>
        </is>
      </c>
      <c r="C134" t="inlineStr">
        <is>
          <t>Tarea: Comparativa de Herramientas Cloud para IA</t>
        </is>
      </c>
      <c r="D134" t="inlineStr">
        <is>
          <t>guía/rúbrica</t>
        </is>
      </c>
      <c r="E134" t="inlineStr">
        <is>
          <t>05-cloud-mlops/03-practicas/tarea-comparativa-herramientas.md</t>
        </is>
      </c>
      <c r="F134" t="inlineStr">
        <is>
          <t>Revisar</t>
        </is>
      </c>
      <c r="G134"/>
      <c r="H134" t="inlineStr">
        <is>
          <t>Pendiente</t>
        </is>
      </c>
      <c r="I134"/>
      <c r="J134"/>
      <c r="K134"/>
      <c r="L134"/>
      <c r="M134">
        <f>IF(AND(ISNUMBER(K134),ISNUMBER(L134)),MAX(K134-L134,0),"")</f>
      </c>
      <c r="N134"/>
      <c r="O134"/>
      <c r="P134"/>
    </row>
    <row r="135">
      <c r="A135" t="inlineStr">
        <is>
          <t>05</t>
        </is>
      </c>
      <c r="B135" t="inlineStr">
        <is>
          <t>05-cloud-mlops</t>
        </is>
      </c>
      <c r="C135" t="inlineStr">
        <is>
          <t>Evaluación — UD5 Cloud y MLOps</t>
        </is>
      </c>
      <c r="D135" t="inlineStr">
        <is>
          <t>guía/rúbrica</t>
        </is>
      </c>
      <c r="E135" t="inlineStr">
        <is>
          <t>05-cloud-mlops/04-evaluacion/README.md</t>
        </is>
      </c>
      <c r="F135" t="inlineStr">
        <is>
          <t>Sí</t>
        </is>
      </c>
      <c r="G135"/>
      <c r="H135" t="inlineStr">
        <is>
          <t>Pendiente</t>
        </is>
      </c>
      <c r="I135"/>
      <c r="J135"/>
      <c r="K135"/>
      <c r="L135"/>
      <c r="M135">
        <f>IF(AND(ISNUMBER(K135),ISNUMBER(L135)),MAX(K135-L135,0),"")</f>
      </c>
      <c r="N135"/>
      <c r="O135"/>
      <c r="P135"/>
    </row>
    <row r="136">
      <c r="A136" t="inlineStr">
        <is>
          <t>05</t>
        </is>
      </c>
      <c r="B136" t="inlineStr">
        <is>
          <t>05-cloud-mlops</t>
        </is>
      </c>
      <c r="C136" t="inlineStr">
        <is>
          <t>Checklist de entrega — UD5 Cloud y MLOps</t>
        </is>
      </c>
      <c r="D136" t="inlineStr">
        <is>
          <t>guía/rúbrica</t>
        </is>
      </c>
      <c r="E136" t="inlineStr">
        <is>
          <t>05-cloud-mlops/04-evaluacion/checklist-entrega.md</t>
        </is>
      </c>
      <c r="F136" t="inlineStr">
        <is>
          <t>Sí</t>
        </is>
      </c>
      <c r="G136"/>
      <c r="H136" t="inlineStr">
        <is>
          <t>Pendiente</t>
        </is>
      </c>
      <c r="I136"/>
      <c r="J136"/>
      <c r="K136"/>
      <c r="L136"/>
      <c r="M136">
        <f>IF(AND(ISNUMBER(K136),ISNUMBER(L136)),MAX(K136-L136,0),"")</f>
      </c>
      <c r="N136"/>
      <c r="O136"/>
      <c r="P136"/>
    </row>
    <row r="137">
      <c r="A137" t="inlineStr">
        <is>
          <t>05</t>
        </is>
      </c>
      <c r="B137" t="inlineStr">
        <is>
          <t>05-cloud-mlops</t>
        </is>
      </c>
      <c r="C137" t="inlineStr">
        <is>
          <t>Cuestionario 1 Infraestructura Datos</t>
        </is>
      </c>
      <c r="D137" t="inlineStr">
        <is>
          <t>cuestionario</t>
        </is>
      </c>
      <c r="E137" t="inlineStr">
        <is>
          <t>05-cloud-mlops/04-evaluacion/cuestionario_1_infraestructura_datos.gift</t>
        </is>
      </c>
      <c r="F137" t="inlineStr">
        <is>
          <t>Sí</t>
        </is>
      </c>
      <c r="G137"/>
      <c r="H137" t="inlineStr">
        <is>
          <t>Pendiente</t>
        </is>
      </c>
      <c r="I137"/>
      <c r="J137"/>
      <c r="K137"/>
      <c r="L137"/>
      <c r="M137">
        <f>IF(AND(ISNUMBER(K137),ISNUMBER(L137)),MAX(K137-L137,0),"")</f>
      </c>
      <c r="N137"/>
      <c r="O137"/>
      <c r="P137"/>
    </row>
    <row r="138">
      <c r="A138" t="inlineStr">
        <is>
          <t>05</t>
        </is>
      </c>
      <c r="B138" t="inlineStr">
        <is>
          <t>05-cloud-mlops</t>
        </is>
      </c>
      <c r="C138" t="inlineStr">
        <is>
          <t>Cuestionario 2 Ia Generativa Rag</t>
        </is>
      </c>
      <c r="D138" t="inlineStr">
        <is>
          <t>cuestionario</t>
        </is>
      </c>
      <c r="E138" t="inlineStr">
        <is>
          <t>05-cloud-mlops/04-evaluacion/cuestionario_2_ia_generativa_rag.gift</t>
        </is>
      </c>
      <c r="F138" t="inlineStr">
        <is>
          <t>Sí</t>
        </is>
      </c>
      <c r="G138"/>
      <c r="H138" t="inlineStr">
        <is>
          <t>Pendiente</t>
        </is>
      </c>
      <c r="I138"/>
      <c r="J138"/>
      <c r="K138"/>
      <c r="L138"/>
      <c r="M138">
        <f>IF(AND(ISNUMBER(K138),ISNUMBER(L138)),MAX(K138-L138,0),"")</f>
      </c>
      <c r="N138"/>
      <c r="O138"/>
      <c r="P138"/>
    </row>
    <row r="139">
      <c r="A139" t="inlineStr">
        <is>
          <t>06</t>
        </is>
      </c>
      <c r="B139" t="inlineStr">
        <is>
          <t>06-llm-agentes</t>
        </is>
      </c>
      <c r="C139" t="inlineStr">
        <is>
          <t>Mlflow Llamaindex Rag</t>
        </is>
      </c>
      <c r="D139" t="inlineStr">
        <is>
          <t>notebook</t>
        </is>
      </c>
      <c r="E139" t="inlineStr">
        <is>
          <t>06-llm-agentes/03-practicas/100_mlflow_llamaindex_rag.ipynb</t>
        </is>
      </c>
      <c r="F139" t="inlineStr">
        <is>
          <t>Revisar</t>
        </is>
      </c>
      <c r="G139"/>
      <c r="H139" t="inlineStr">
        <is>
          <t>Pendiente</t>
        </is>
      </c>
      <c r="I139"/>
      <c r="J139"/>
      <c r="K139"/>
      <c r="L139"/>
      <c r="M139">
        <f>IF(AND(ISNUMBER(K139),ISNUMBER(L139)),MAX(K139-L139,0),"")</f>
      </c>
      <c r="N139"/>
      <c r="O139"/>
      <c r="P139"/>
    </row>
    <row r="140">
      <c r="A140" t="inlineStr">
        <is>
          <t>06</t>
        </is>
      </c>
      <c r="B140" t="inlineStr">
        <is>
          <t>06-llm-agentes</t>
        </is>
      </c>
      <c r="C140" t="inlineStr">
        <is>
          <t>Langgraph Orquestacion</t>
        </is>
      </c>
      <c r="D140" t="inlineStr">
        <is>
          <t>notebook</t>
        </is>
      </c>
      <c r="E140" t="inlineStr">
        <is>
          <t>06-llm-agentes/03-practicas/101_langgraph_orquestacion.ipynb</t>
        </is>
      </c>
      <c r="F140" t="inlineStr">
        <is>
          <t>Revisar</t>
        </is>
      </c>
      <c r="G140"/>
      <c r="H140" t="inlineStr">
        <is>
          <t>Pendiente</t>
        </is>
      </c>
      <c r="I140"/>
      <c r="J140"/>
      <c r="K140"/>
      <c r="L140"/>
      <c r="M140">
        <f>IF(AND(ISNUMBER(K140),ISNUMBER(L140)),MAX(K140-L140,0),"")</f>
      </c>
      <c r="N140"/>
      <c r="O140"/>
      <c r="P140"/>
    </row>
    <row r="141">
      <c r="A141" t="inlineStr">
        <is>
          <t>06</t>
        </is>
      </c>
      <c r="B141" t="inlineStr">
        <is>
          <t>06-llm-agentes</t>
        </is>
      </c>
      <c r="C141" t="inlineStr">
        <is>
          <t>Ollama Modelos Locales</t>
        </is>
      </c>
      <c r="D141" t="inlineStr">
        <is>
          <t>notebook</t>
        </is>
      </c>
      <c r="E141" t="inlineStr">
        <is>
          <t>06-llm-agentes/03-practicas/102_ollama_modelos_locales.ipynb</t>
        </is>
      </c>
      <c r="F141" t="inlineStr">
        <is>
          <t>Revisar</t>
        </is>
      </c>
      <c r="G141"/>
      <c r="H141" t="inlineStr">
        <is>
          <t>Pendiente</t>
        </is>
      </c>
      <c r="I141"/>
      <c r="J141"/>
      <c r="K141"/>
      <c r="L141"/>
      <c r="M141">
        <f>IF(AND(ISNUMBER(K141),ISNUMBER(L141)),MAX(K141-L141,0),"")</f>
      </c>
      <c r="N141"/>
      <c r="O141"/>
      <c r="P141"/>
    </row>
    <row r="142">
      <c r="A142" t="inlineStr">
        <is>
          <t>06</t>
        </is>
      </c>
      <c r="B142" t="inlineStr">
        <is>
          <t>06-llm-agentes</t>
        </is>
      </c>
      <c r="C142" t="inlineStr">
        <is>
          <t>Fastapi Serving Modelos</t>
        </is>
      </c>
      <c r="D142" t="inlineStr">
        <is>
          <t>notebook</t>
        </is>
      </c>
      <c r="E142" t="inlineStr">
        <is>
          <t>06-llm-agentes/03-practicas/103_fastapi_serving_modelos.ipynb</t>
        </is>
      </c>
      <c r="F142" t="inlineStr">
        <is>
          <t>Revisar</t>
        </is>
      </c>
      <c r="G142"/>
      <c r="H142" t="inlineStr">
        <is>
          <t>Pendiente</t>
        </is>
      </c>
      <c r="I142"/>
      <c r="J142"/>
      <c r="K142"/>
      <c r="L142"/>
      <c r="M142">
        <f>IF(AND(ISNUMBER(K142),ISNUMBER(L142)),MAX(K142-L142,0),"")</f>
      </c>
      <c r="N142"/>
      <c r="O142"/>
      <c r="P142"/>
    </row>
    <row r="143">
      <c r="A143" t="inlineStr">
        <is>
          <t>06</t>
        </is>
      </c>
      <c r="B143" t="inlineStr">
        <is>
          <t>06-llm-agentes</t>
        </is>
      </c>
      <c r="C143" t="inlineStr">
        <is>
          <t>Gradio Model</t>
        </is>
      </c>
      <c r="D143" t="inlineStr">
        <is>
          <t>notebook</t>
        </is>
      </c>
      <c r="E143" t="inlineStr">
        <is>
          <t>06-llm-agentes/03-practicas/96_gradio_model.ipynb</t>
        </is>
      </c>
      <c r="F143" t="inlineStr">
        <is>
          <t>Revisar</t>
        </is>
      </c>
      <c r="G143"/>
      <c r="H143" t="inlineStr">
        <is>
          <t>Pendiente</t>
        </is>
      </c>
      <c r="I143"/>
      <c r="J143"/>
      <c r="K143"/>
      <c r="L143"/>
      <c r="M143">
        <f>IF(AND(ISNUMBER(K143),ISNUMBER(L143)),MAX(K143-L143,0),"")</f>
      </c>
      <c r="N143"/>
      <c r="O143"/>
      <c r="P143"/>
    </row>
    <row r="144">
      <c r="A144" t="inlineStr">
        <is>
          <t>06</t>
        </is>
      </c>
      <c r="B144" t="inlineStr">
        <is>
          <t>06-llm-agentes</t>
        </is>
      </c>
      <c r="C144" t="inlineStr">
        <is>
          <t>Gradio Model SOLUCIONES</t>
        </is>
      </c>
      <c r="D144" t="inlineStr">
        <is>
          <t>notebook</t>
        </is>
      </c>
      <c r="E144" t="inlineStr">
        <is>
          <t>06-llm-agentes/03-practicas/96_gradio_model_SOLUCIONES.ipynb</t>
        </is>
      </c>
      <c r="F144" t="inlineStr">
        <is>
          <t>Revisar</t>
        </is>
      </c>
      <c r="G144"/>
      <c r="H144" t="inlineStr">
        <is>
          <t>Pendiente</t>
        </is>
      </c>
      <c r="I144"/>
      <c r="J144"/>
      <c r="K144"/>
      <c r="L144"/>
      <c r="M144">
        <f>IF(AND(ISNUMBER(K144),ISNUMBER(L144)),MAX(K144-L144,0),"")</f>
      </c>
      <c r="N144"/>
      <c r="O144"/>
      <c r="P144"/>
    </row>
    <row r="145">
      <c r="A145" t="inlineStr">
        <is>
          <t>06</t>
        </is>
      </c>
      <c r="B145" t="inlineStr">
        <is>
          <t>06-llm-agentes</t>
        </is>
      </c>
      <c r="C145" t="inlineStr">
        <is>
          <t>Gradio Model SOLUCIONES TESTS</t>
        </is>
      </c>
      <c r="D145" t="inlineStr">
        <is>
          <t>notebook</t>
        </is>
      </c>
      <c r="E145" t="inlineStr">
        <is>
          <t>06-llm-agentes/03-practicas/96_gradio_model_SOLUCIONES_TESTS.ipynb</t>
        </is>
      </c>
      <c r="F145" t="inlineStr">
        <is>
          <t>Revisar</t>
        </is>
      </c>
      <c r="G145"/>
      <c r="H145" t="inlineStr">
        <is>
          <t>Pendiente</t>
        </is>
      </c>
      <c r="I145"/>
      <c r="J145"/>
      <c r="K145"/>
      <c r="L145"/>
      <c r="M145">
        <f>IF(AND(ISNUMBER(K145),ISNUMBER(L145)),MAX(K145-L145,0),"")</f>
      </c>
      <c r="N145"/>
      <c r="O145"/>
      <c r="P145"/>
    </row>
    <row r="146">
      <c r="A146" t="inlineStr">
        <is>
          <t>06</t>
        </is>
      </c>
      <c r="B146" t="inlineStr">
        <is>
          <t>06-llm-agentes</t>
        </is>
      </c>
      <c r="C146" t="inlineStr">
        <is>
          <t>Langchain Pipeline</t>
        </is>
      </c>
      <c r="D146" t="inlineStr">
        <is>
          <t>notebook</t>
        </is>
      </c>
      <c r="E146" t="inlineStr">
        <is>
          <t>06-llm-agentes/03-practicas/97_langchain_pipeline.ipynb</t>
        </is>
      </c>
      <c r="F146" t="inlineStr">
        <is>
          <t>Revisar</t>
        </is>
      </c>
      <c r="G146"/>
      <c r="H146" t="inlineStr">
        <is>
          <t>Pendiente</t>
        </is>
      </c>
      <c r="I146"/>
      <c r="J146"/>
      <c r="K146"/>
      <c r="L146"/>
      <c r="M146">
        <f>IF(AND(ISNUMBER(K146),ISNUMBER(L146)),MAX(K146-L146,0),"")</f>
      </c>
      <c r="N146"/>
      <c r="O146"/>
      <c r="P146"/>
    </row>
    <row r="147">
      <c r="A147" t="inlineStr">
        <is>
          <t>06</t>
        </is>
      </c>
      <c r="B147" t="inlineStr">
        <is>
          <t>06-llm-agentes</t>
        </is>
      </c>
      <c r="C147" t="inlineStr">
        <is>
          <t>Langchain Pipeline SOLUCIONES</t>
        </is>
      </c>
      <c r="D147" t="inlineStr">
        <is>
          <t>notebook</t>
        </is>
      </c>
      <c r="E147" t="inlineStr">
        <is>
          <t>06-llm-agentes/03-practicas/97_langchain_pipeline_SOLUCIONES.ipynb</t>
        </is>
      </c>
      <c r="F147" t="inlineStr">
        <is>
          <t>Revisar</t>
        </is>
      </c>
      <c r="G147"/>
      <c r="H147" t="inlineStr">
        <is>
          <t>Pendiente</t>
        </is>
      </c>
      <c r="I147"/>
      <c r="J147"/>
      <c r="K147"/>
      <c r="L147"/>
      <c r="M147">
        <f>IF(AND(ISNUMBER(K147),ISNUMBER(L147)),MAX(K147-L147,0),"")</f>
      </c>
      <c r="N147"/>
      <c r="O147"/>
      <c r="P147"/>
    </row>
    <row r="148">
      <c r="A148" t="inlineStr">
        <is>
          <t>06</t>
        </is>
      </c>
      <c r="B148" t="inlineStr">
        <is>
          <t>06-llm-agentes</t>
        </is>
      </c>
      <c r="C148" t="inlineStr">
        <is>
          <t>Langchain Pipeline SOLUCIONES TESTS</t>
        </is>
      </c>
      <c r="D148" t="inlineStr">
        <is>
          <t>notebook</t>
        </is>
      </c>
      <c r="E148" t="inlineStr">
        <is>
          <t>06-llm-agentes/03-practicas/97_langchain_pipeline_SOLUCIONES_TESTS.ipynb</t>
        </is>
      </c>
      <c r="F148" t="inlineStr">
        <is>
          <t>Revisar</t>
        </is>
      </c>
      <c r="G148"/>
      <c r="H148" t="inlineStr">
        <is>
          <t>Pendiente</t>
        </is>
      </c>
      <c r="I148"/>
      <c r="J148"/>
      <c r="K148"/>
      <c r="L148"/>
      <c r="M148">
        <f>IF(AND(ISNUMBER(K148),ISNUMBER(L148)),MAX(K148-L148,0),"")</f>
      </c>
      <c r="N148"/>
      <c r="O148"/>
      <c r="P148"/>
    </row>
    <row r="149">
      <c r="A149" t="inlineStr">
        <is>
          <t>06</t>
        </is>
      </c>
      <c r="B149" t="inlineStr">
        <is>
          <t>06-llm-agentes</t>
        </is>
      </c>
      <c r="C149" t="inlineStr">
        <is>
          <t>Dspy Mcp</t>
        </is>
      </c>
      <c r="D149" t="inlineStr">
        <is>
          <t>notebook</t>
        </is>
      </c>
      <c r="E149" t="inlineStr">
        <is>
          <t>06-llm-agentes/03-practicas/98_dspy_mcp.ipynb</t>
        </is>
      </c>
      <c r="F149" t="inlineStr">
        <is>
          <t>Revisar</t>
        </is>
      </c>
      <c r="G149"/>
      <c r="H149" t="inlineStr">
        <is>
          <t>Pendiente</t>
        </is>
      </c>
      <c r="I149"/>
      <c r="J149"/>
      <c r="K149"/>
      <c r="L149"/>
      <c r="M149">
        <f>IF(AND(ISNUMBER(K149),ISNUMBER(L149)),MAX(K149-L149,0),"")</f>
      </c>
      <c r="N149"/>
      <c r="O149"/>
      <c r="P149"/>
    </row>
    <row r="150">
      <c r="A150" t="inlineStr">
        <is>
          <t>06</t>
        </is>
      </c>
      <c r="B150" t="inlineStr">
        <is>
          <t>06-llm-agentes</t>
        </is>
      </c>
      <c r="C150" t="inlineStr">
        <is>
          <t>Dspy Mcp SOLUCIONES</t>
        </is>
      </c>
      <c r="D150" t="inlineStr">
        <is>
          <t>notebook</t>
        </is>
      </c>
      <c r="E150" t="inlineStr">
        <is>
          <t>06-llm-agentes/03-practicas/98_dspy_mcp_SOLUCIONES.ipynb</t>
        </is>
      </c>
      <c r="F150" t="inlineStr">
        <is>
          <t>Revisar</t>
        </is>
      </c>
      <c r="G150"/>
      <c r="H150" t="inlineStr">
        <is>
          <t>Pendiente</t>
        </is>
      </c>
      <c r="I150"/>
      <c r="J150"/>
      <c r="K150"/>
      <c r="L150"/>
      <c r="M150">
        <f>IF(AND(ISNUMBER(K150),ISNUMBER(L150)),MAX(K150-L150,0),"")</f>
      </c>
      <c r="N150"/>
      <c r="O150"/>
      <c r="P150"/>
    </row>
    <row r="151">
      <c r="A151" t="inlineStr">
        <is>
          <t>06</t>
        </is>
      </c>
      <c r="B151" t="inlineStr">
        <is>
          <t>06-llm-agentes</t>
        </is>
      </c>
      <c r="C151" t="inlineStr">
        <is>
          <t>Dspy Mcp SOLUCIONES TESTS</t>
        </is>
      </c>
      <c r="D151" t="inlineStr">
        <is>
          <t>notebook</t>
        </is>
      </c>
      <c r="E151" t="inlineStr">
        <is>
          <t>06-llm-agentes/03-practicas/98_dspy_mcp_SOLUCIONES_TESTS.ipynb</t>
        </is>
      </c>
      <c r="F151" t="inlineStr">
        <is>
          <t>Revisar</t>
        </is>
      </c>
      <c r="G151"/>
      <c r="H151" t="inlineStr">
        <is>
          <t>Pendiente</t>
        </is>
      </c>
      <c r="I151"/>
      <c r="J151"/>
      <c r="K151"/>
      <c r="L151"/>
      <c r="M151">
        <f>IF(AND(ISNUMBER(K151),ISNUMBER(L151)),MAX(K151-L151,0),"")</f>
      </c>
      <c r="N151"/>
      <c r="O151"/>
      <c r="P151"/>
    </row>
    <row r="152">
      <c r="A152" t="inlineStr">
        <is>
          <t>06</t>
        </is>
      </c>
      <c r="B152" t="inlineStr">
        <is>
          <t>06-llm-agentes</t>
        </is>
      </c>
      <c r="C152" t="inlineStr">
        <is>
          <t>Herramientas Ia Integradas</t>
        </is>
      </c>
      <c r="D152" t="inlineStr">
        <is>
          <t>notebook</t>
        </is>
      </c>
      <c r="E152" t="inlineStr">
        <is>
          <t>06-llm-agentes/03-practicas/99_herramientas_ia_integradas.ipynb</t>
        </is>
      </c>
      <c r="F152" t="inlineStr">
        <is>
          <t>Revisar</t>
        </is>
      </c>
      <c r="G152"/>
      <c r="H152" t="inlineStr">
        <is>
          <t>Pendiente</t>
        </is>
      </c>
      <c r="I152"/>
      <c r="J152"/>
      <c r="K152"/>
      <c r="L152"/>
      <c r="M152">
        <f>IF(AND(ISNUMBER(K152),ISNUMBER(L152)),MAX(K152-L152,0),"")</f>
      </c>
      <c r="N152"/>
      <c r="O152"/>
      <c r="P152"/>
    </row>
    <row r="153">
      <c r="A153" t="inlineStr">
        <is>
          <t>06</t>
        </is>
      </c>
      <c r="B153" t="inlineStr">
        <is>
          <t>06-llm-agentes</t>
        </is>
      </c>
      <c r="C153" t="inlineStr">
        <is>
          <t>Script de exportación de modelos</t>
        </is>
      </c>
      <c r="D153" t="inlineStr">
        <is>
          <t>guía/rúbrica</t>
        </is>
      </c>
      <c r="E153" t="inlineStr">
        <is>
          <t>06-llm-agentes/03-practicas/nlp-tareas-ud4/USO_EXPORTACION.md</t>
        </is>
      </c>
      <c r="F153" t="inlineStr">
        <is>
          <t>Revisar</t>
        </is>
      </c>
      <c r="G153"/>
      <c r="H153" t="inlineStr">
        <is>
          <t>Pendiente</t>
        </is>
      </c>
      <c r="I153"/>
      <c r="J153"/>
      <c r="K153"/>
      <c r="L153"/>
      <c r="M153">
        <f>IF(AND(ISNUMBER(K153),ISNUMBER(L153)),MAX(K153-L153,0),"")</f>
      </c>
      <c r="N153"/>
      <c r="O153"/>
      <c r="P153"/>
    </row>
    <row r="154">
      <c r="A154" t="inlineStr">
        <is>
          <t>06</t>
        </is>
      </c>
      <c r="B154" t="inlineStr">
        <is>
          <t>06-llm-agentes</t>
        </is>
      </c>
      <c r="C154" t="inlineStr">
        <is>
          <t>Export Models</t>
        </is>
      </c>
      <c r="D154" t="inlineStr">
        <is>
          <t>script</t>
        </is>
      </c>
      <c r="E154" t="inlineStr">
        <is>
          <t>06-llm-agentes/03-practicas/nlp-tareas-ud4/export_models.py</t>
        </is>
      </c>
      <c r="F154" t="inlineStr">
        <is>
          <t>Revisar</t>
        </is>
      </c>
      <c r="G154"/>
      <c r="H154" t="inlineStr">
        <is>
          <t>Pendiente</t>
        </is>
      </c>
      <c r="I154"/>
      <c r="J154"/>
      <c r="K154"/>
      <c r="L154"/>
      <c r="M154">
        <f>IF(AND(ISNUMBER(K154),ISNUMBER(L154)),MAX(K154-L154,0),"")</f>
      </c>
      <c r="N154"/>
      <c r="O154"/>
      <c r="P154"/>
    </row>
    <row r="155">
      <c r="A155" t="inlineStr">
        <is>
          <t>06</t>
        </is>
      </c>
      <c r="B155" t="inlineStr">
        <is>
          <t>06-llm-agentes</t>
        </is>
      </c>
      <c r="C155" t="inlineStr">
        <is>
          <t>Bloque de serving y orquestación – Lenguajes y herramientas emergentes para IA</t>
        </is>
      </c>
      <c r="D155" t="inlineStr">
        <is>
          <t>guía/rúbrica</t>
        </is>
      </c>
      <c r="E155" t="inlineStr">
        <is>
          <t>06-llm-agentes/03-practicas/serving-orquestacion/00-guia-serving-orquestacion.md</t>
        </is>
      </c>
      <c r="F155" t="inlineStr">
        <is>
          <t>Revisar</t>
        </is>
      </c>
      <c r="G155"/>
      <c r="H155" t="inlineStr">
        <is>
          <t>Pendiente</t>
        </is>
      </c>
      <c r="I155"/>
      <c r="J155"/>
      <c r="K155"/>
      <c r="L155"/>
      <c r="M155">
        <f>IF(AND(ISNUMBER(K155),ISNUMBER(L155)),MAX(K155-L155,0),"")</f>
      </c>
      <c r="N155"/>
      <c r="O155"/>
      <c r="P155"/>
    </row>
    <row r="156">
      <c r="A156" t="inlineStr">
        <is>
          <t>06</t>
        </is>
      </c>
      <c r="B156" t="inlineStr">
        <is>
          <t>06-llm-agentes</t>
        </is>
      </c>
      <c r="C156" t="inlineStr">
        <is>
          <t>DSPy: documentación práctica</t>
        </is>
      </c>
      <c r="D156" t="inlineStr">
        <is>
          <t>guía/rúbrica</t>
        </is>
      </c>
      <c r="E156" t="inlineStr">
        <is>
          <t>06-llm-agentes/03-practicas/serving-orquestacion/Documentacion/DSPy_Documentacion.md</t>
        </is>
      </c>
      <c r="F156" t="inlineStr">
        <is>
          <t>Revisar</t>
        </is>
      </c>
      <c r="G156"/>
      <c r="H156" t="inlineStr">
        <is>
          <t>Pendiente</t>
        </is>
      </c>
      <c r="I156"/>
      <c r="J156"/>
      <c r="K156"/>
      <c r="L156"/>
      <c r="M156">
        <f>IF(AND(ISNUMBER(K156),ISNUMBER(L156)),MAX(K156-L156,0),"")</f>
      </c>
      <c r="N156"/>
      <c r="O156"/>
      <c r="P156"/>
    </row>
    <row r="157">
      <c r="A157" t="inlineStr">
        <is>
          <t>06</t>
        </is>
      </c>
      <c r="B157" t="inlineStr">
        <is>
          <t>06-llm-agentes</t>
        </is>
      </c>
      <c r="C157" t="inlineStr">
        <is>
          <t>Documentación de notebooks del bloque legado de serving y orquestación</t>
        </is>
      </c>
      <c r="D157" t="inlineStr">
        <is>
          <t>guía/rúbrica</t>
        </is>
      </c>
      <c r="E157" t="inlineStr">
        <is>
          <t>06-llm-agentes/03-practicas/serving-orquestacion/Documentacion/Documentacion_Notebooks.md</t>
        </is>
      </c>
      <c r="F157" t="inlineStr">
        <is>
          <t>Revisar</t>
        </is>
      </c>
      <c r="G157"/>
      <c r="H157" t="inlineStr">
        <is>
          <t>Pendiente</t>
        </is>
      </c>
      <c r="I157"/>
      <c r="J157"/>
      <c r="K157"/>
      <c r="L157"/>
      <c r="M157">
        <f>IF(AND(ISNUMBER(K157),ISNUMBER(L157)),MAX(K157-L157,0),"")</f>
      </c>
      <c r="N157"/>
      <c r="O157"/>
      <c r="P157"/>
    </row>
    <row r="158">
      <c r="A158" t="inlineStr">
        <is>
          <t>06</t>
        </is>
      </c>
      <c r="B158" t="inlineStr">
        <is>
          <t>06-llm-agentes</t>
        </is>
      </c>
      <c r="C158" t="inlineStr">
        <is>
          <t>FastAPI: documentación práctica</t>
        </is>
      </c>
      <c r="D158" t="inlineStr">
        <is>
          <t>guía/rúbrica</t>
        </is>
      </c>
      <c r="E158" t="inlineStr">
        <is>
          <t>06-llm-agentes/03-practicas/serving-orquestacion/Documentacion/FastAPI_Documentacion.md</t>
        </is>
      </c>
      <c r="F158" t="inlineStr">
        <is>
          <t>Revisar</t>
        </is>
      </c>
      <c r="G158"/>
      <c r="H158" t="inlineStr">
        <is>
          <t>Pendiente</t>
        </is>
      </c>
      <c r="I158"/>
      <c r="J158"/>
      <c r="K158"/>
      <c r="L158"/>
      <c r="M158">
        <f>IF(AND(ISNUMBER(K158),ISNUMBER(L158)),MAX(K158-L158,0),"")</f>
      </c>
      <c r="N158"/>
      <c r="O158"/>
      <c r="P158"/>
    </row>
    <row r="159">
      <c r="A159" t="inlineStr">
        <is>
          <t>06</t>
        </is>
      </c>
      <c r="B159" t="inlineStr">
        <is>
          <t>06-llm-agentes</t>
        </is>
      </c>
      <c r="C159" t="inlineStr">
        <is>
          <t>Gradio: documentación práctica</t>
        </is>
      </c>
      <c r="D159" t="inlineStr">
        <is>
          <t>guía/rúbrica</t>
        </is>
      </c>
      <c r="E159" t="inlineStr">
        <is>
          <t>06-llm-agentes/03-practicas/serving-orquestacion/Documentacion/Gradio_Documentacion.md</t>
        </is>
      </c>
      <c r="F159" t="inlineStr">
        <is>
          <t>Revisar</t>
        </is>
      </c>
      <c r="G159"/>
      <c r="H159" t="inlineStr">
        <is>
          <t>Pendiente</t>
        </is>
      </c>
      <c r="I159"/>
      <c r="J159"/>
      <c r="K159"/>
      <c r="L159"/>
      <c r="M159">
        <f>IF(AND(ISNUMBER(K159),ISNUMBER(L159)),MAX(K159-L159,0),"")</f>
      </c>
      <c r="N159"/>
      <c r="O159"/>
      <c r="P159"/>
    </row>
    <row r="160">
      <c r="A160" t="inlineStr">
        <is>
          <t>06</t>
        </is>
      </c>
      <c r="B160" t="inlineStr">
        <is>
          <t>06-llm-agentes</t>
        </is>
      </c>
      <c r="C160" t="inlineStr">
        <is>
          <t>Herramientas útiles para programación de inteligencia artificial</t>
        </is>
      </c>
      <c r="D160" t="inlineStr">
        <is>
          <t>guía/rúbrica</t>
        </is>
      </c>
      <c r="E160" t="inlineStr">
        <is>
          <t>06-llm-agentes/03-practicas/serving-orquestacion/Documentacion/Herramientas_IA_Programacion.md</t>
        </is>
      </c>
      <c r="F160" t="inlineStr">
        <is>
          <t>Revisar</t>
        </is>
      </c>
      <c r="G160"/>
      <c r="H160" t="inlineStr">
        <is>
          <t>Pendiente</t>
        </is>
      </c>
      <c r="I160"/>
      <c r="J160"/>
      <c r="K160"/>
      <c r="L160"/>
      <c r="M160">
        <f>IF(AND(ISNUMBER(K160),ISNUMBER(L160)),MAX(K160-L160,0),"")</f>
      </c>
      <c r="N160"/>
      <c r="O160"/>
      <c r="P160"/>
    </row>
    <row r="161">
      <c r="A161" t="inlineStr">
        <is>
          <t>06</t>
        </is>
      </c>
      <c r="B161" t="inlineStr">
        <is>
          <t>06-llm-agentes</t>
        </is>
      </c>
      <c r="C161" t="inlineStr">
        <is>
          <t>LangChain: documentación práctica</t>
        </is>
      </c>
      <c r="D161" t="inlineStr">
        <is>
          <t>guía/rúbrica</t>
        </is>
      </c>
      <c r="E161" t="inlineStr">
        <is>
          <t>06-llm-agentes/03-practicas/serving-orquestacion/Documentacion/LangChain_Documentacion.md</t>
        </is>
      </c>
      <c r="F161" t="inlineStr">
        <is>
          <t>Revisar</t>
        </is>
      </c>
      <c r="G161"/>
      <c r="H161" t="inlineStr">
        <is>
          <t>Pendiente</t>
        </is>
      </c>
      <c r="I161"/>
      <c r="J161"/>
      <c r="K161"/>
      <c r="L161"/>
      <c r="M161">
        <f>IF(AND(ISNUMBER(K161),ISNUMBER(L161)),MAX(K161-L161,0),"")</f>
      </c>
      <c r="N161"/>
      <c r="O161"/>
      <c r="P161"/>
    </row>
    <row r="162">
      <c r="A162" t="inlineStr">
        <is>
          <t>06</t>
        </is>
      </c>
      <c r="B162" t="inlineStr">
        <is>
          <t>06-llm-agentes</t>
        </is>
      </c>
      <c r="C162" t="inlineStr">
        <is>
          <t>LangGraph: documentación práctica</t>
        </is>
      </c>
      <c r="D162" t="inlineStr">
        <is>
          <t>guía/rúbrica</t>
        </is>
      </c>
      <c r="E162" t="inlineStr">
        <is>
          <t>06-llm-agentes/03-practicas/serving-orquestacion/Documentacion/LangGraph_Documentacion.md</t>
        </is>
      </c>
      <c r="F162" t="inlineStr">
        <is>
          <t>Revisar</t>
        </is>
      </c>
      <c r="G162"/>
      <c r="H162" t="inlineStr">
        <is>
          <t>Pendiente</t>
        </is>
      </c>
      <c r="I162"/>
      <c r="J162"/>
      <c r="K162"/>
      <c r="L162"/>
      <c r="M162">
        <f>IF(AND(ISNUMBER(K162),ISNUMBER(L162)),MAX(K162-L162,0),"")</f>
      </c>
      <c r="N162"/>
      <c r="O162"/>
      <c r="P162"/>
    </row>
    <row r="163">
      <c r="A163" t="inlineStr">
        <is>
          <t>06</t>
        </is>
      </c>
      <c r="B163" t="inlineStr">
        <is>
          <t>06-llm-agentes</t>
        </is>
      </c>
      <c r="C163" t="inlineStr">
        <is>
          <t>LlamaIndex: documentación práctica</t>
        </is>
      </c>
      <c r="D163" t="inlineStr">
        <is>
          <t>guía/rúbrica</t>
        </is>
      </c>
      <c r="E163" t="inlineStr">
        <is>
          <t>06-llm-agentes/03-practicas/serving-orquestacion/Documentacion/LlamaIndex_Documentacion.md</t>
        </is>
      </c>
      <c r="F163" t="inlineStr">
        <is>
          <t>Revisar</t>
        </is>
      </c>
      <c r="G163"/>
      <c r="H163" t="inlineStr">
        <is>
          <t>Pendiente</t>
        </is>
      </c>
      <c r="I163"/>
      <c r="J163"/>
      <c r="K163"/>
      <c r="L163"/>
      <c r="M163">
        <f>IF(AND(ISNUMBER(K163),ISNUMBER(L163)),MAX(K163-L163,0),"")</f>
      </c>
      <c r="N163"/>
      <c r="O163"/>
      <c r="P163"/>
    </row>
    <row r="164">
      <c r="A164" t="inlineStr">
        <is>
          <t>06</t>
        </is>
      </c>
      <c r="B164" t="inlineStr">
        <is>
          <t>06-llm-agentes</t>
        </is>
      </c>
      <c r="C164" t="inlineStr">
        <is>
          <t>MLflow: documentación práctica</t>
        </is>
      </c>
      <c r="D164" t="inlineStr">
        <is>
          <t>guía/rúbrica</t>
        </is>
      </c>
      <c r="E164" t="inlineStr">
        <is>
          <t>06-llm-agentes/03-practicas/serving-orquestacion/Documentacion/MLflow_Documentacion.md</t>
        </is>
      </c>
      <c r="F164" t="inlineStr">
        <is>
          <t>Revisar</t>
        </is>
      </c>
      <c r="G164"/>
      <c r="H164" t="inlineStr">
        <is>
          <t>Pendiente</t>
        </is>
      </c>
      <c r="I164"/>
      <c r="J164"/>
      <c r="K164"/>
      <c r="L164"/>
      <c r="M164">
        <f>IF(AND(ISNUMBER(K164),ISNUMBER(L164)),MAX(K164-L164,0),"")</f>
      </c>
      <c r="N164"/>
      <c r="O164"/>
      <c r="P164"/>
    </row>
    <row r="165">
      <c r="A165" t="inlineStr">
        <is>
          <t>06</t>
        </is>
      </c>
      <c r="B165" t="inlineStr">
        <is>
          <t>06-llm-agentes</t>
        </is>
      </c>
      <c r="C165" t="inlineStr">
        <is>
          <t>Ollama: documentación práctica</t>
        </is>
      </c>
      <c r="D165" t="inlineStr">
        <is>
          <t>guía/rúbrica</t>
        </is>
      </c>
      <c r="E165" t="inlineStr">
        <is>
          <t>06-llm-agentes/03-practicas/serving-orquestacion/Documentacion/Ollama_Documentacion.md</t>
        </is>
      </c>
      <c r="F165" t="inlineStr">
        <is>
          <t>Revisar</t>
        </is>
      </c>
      <c r="G165"/>
      <c r="H165" t="inlineStr">
        <is>
          <t>Pendiente</t>
        </is>
      </c>
      <c r="I165"/>
      <c r="J165"/>
      <c r="K165"/>
      <c r="L165"/>
      <c r="M165">
        <f>IF(AND(ISNUMBER(K165),ISNUMBER(L165)),MAX(K165-L165,0),"")</f>
      </c>
      <c r="N165"/>
      <c r="O165"/>
      <c r="P165"/>
    </row>
    <row r="166">
      <c r="A166" t="inlineStr">
        <is>
          <t>06</t>
        </is>
      </c>
      <c r="B166" t="inlineStr">
        <is>
          <t>06-llm-agentes</t>
        </is>
      </c>
      <c r="C166" t="inlineStr">
        <is>
          <t>Gradio Intro</t>
        </is>
      </c>
      <c r="D166" t="inlineStr">
        <is>
          <t>notebook</t>
        </is>
      </c>
      <c r="E166" t="inlineStr">
        <is>
          <t>06-llm-agentes/03-practicas/serving-orquestacion/Fase1/93_gradio_intro.ipynb</t>
        </is>
      </c>
      <c r="F166" t="inlineStr">
        <is>
          <t>Revisar</t>
        </is>
      </c>
      <c r="G166"/>
      <c r="H166" t="inlineStr">
        <is>
          <t>Pendiente</t>
        </is>
      </c>
      <c r="I166"/>
      <c r="J166"/>
      <c r="K166"/>
      <c r="L166"/>
      <c r="M166">
        <f>IF(AND(ISNUMBER(K166),ISNUMBER(L166)),MAX(K166-L166,0),"")</f>
      </c>
      <c r="N166"/>
      <c r="O166"/>
      <c r="P166"/>
    </row>
    <row r="167">
      <c r="A167" t="inlineStr">
        <is>
          <t>06</t>
        </is>
      </c>
      <c r="B167" t="inlineStr">
        <is>
          <t>06-llm-agentes</t>
        </is>
      </c>
      <c r="C167" t="inlineStr">
        <is>
          <t>Gradio Intro SOLUCIONES</t>
        </is>
      </c>
      <c r="D167" t="inlineStr">
        <is>
          <t>notebook</t>
        </is>
      </c>
      <c r="E167" t="inlineStr">
        <is>
          <t>06-llm-agentes/03-practicas/serving-orquestacion/Fase1/93_gradio_intro_SOLUCIONES.ipynb</t>
        </is>
      </c>
      <c r="F167" t="inlineStr">
        <is>
          <t>Revisar</t>
        </is>
      </c>
      <c r="G167"/>
      <c r="H167" t="inlineStr">
        <is>
          <t>Pendiente</t>
        </is>
      </c>
      <c r="I167"/>
      <c r="J167"/>
      <c r="K167"/>
      <c r="L167"/>
      <c r="M167">
        <f>IF(AND(ISNUMBER(K167),ISNUMBER(L167)),MAX(K167-L167,0),"")</f>
      </c>
      <c r="N167"/>
      <c r="O167"/>
      <c r="P167"/>
    </row>
    <row r="168">
      <c r="A168" t="inlineStr">
        <is>
          <t>06</t>
        </is>
      </c>
      <c r="B168" t="inlineStr">
        <is>
          <t>06-llm-agentes</t>
        </is>
      </c>
      <c r="C168" t="inlineStr">
        <is>
          <t>Gradio Intro SOLUCIONES TESTS</t>
        </is>
      </c>
      <c r="D168" t="inlineStr">
        <is>
          <t>notebook</t>
        </is>
      </c>
      <c r="E168" t="inlineStr">
        <is>
          <t>06-llm-agentes/03-practicas/serving-orquestacion/Fase1/93_gradio_intro_SOLUCIONES_TESTS.ipynb</t>
        </is>
      </c>
      <c r="F168" t="inlineStr">
        <is>
          <t>Revisar</t>
        </is>
      </c>
      <c r="G168"/>
      <c r="H168" t="inlineStr">
        <is>
          <t>Pendiente</t>
        </is>
      </c>
      <c r="I168"/>
      <c r="J168"/>
      <c r="K168"/>
      <c r="L168"/>
      <c r="M168">
        <f>IF(AND(ISNUMBER(K168),ISNUMBER(L168)),MAX(K168-L168,0),"")</f>
      </c>
      <c r="N168"/>
      <c r="O168"/>
      <c r="P168"/>
    </row>
    <row r="169">
      <c r="A169" t="inlineStr">
        <is>
          <t>06</t>
        </is>
      </c>
      <c r="B169" t="inlineStr">
        <is>
          <t>06-llm-agentes</t>
        </is>
      </c>
      <c r="C169" t="inlineStr">
        <is>
          <t>Langchain Intro</t>
        </is>
      </c>
      <c r="D169" t="inlineStr">
        <is>
          <t>notebook</t>
        </is>
      </c>
      <c r="E169" t="inlineStr">
        <is>
          <t>06-llm-agentes/03-practicas/serving-orquestacion/Fase1/94_langchain_intro.ipynb</t>
        </is>
      </c>
      <c r="F169" t="inlineStr">
        <is>
          <t>Revisar</t>
        </is>
      </c>
      <c r="G169"/>
      <c r="H169" t="inlineStr">
        <is>
          <t>Pendiente</t>
        </is>
      </c>
      <c r="I169"/>
      <c r="J169"/>
      <c r="K169"/>
      <c r="L169"/>
      <c r="M169">
        <f>IF(AND(ISNUMBER(K169),ISNUMBER(L169)),MAX(K169-L169,0),"")</f>
      </c>
      <c r="N169"/>
      <c r="O169"/>
      <c r="P169"/>
    </row>
    <row r="170">
      <c r="A170" t="inlineStr">
        <is>
          <t>06</t>
        </is>
      </c>
      <c r="B170" t="inlineStr">
        <is>
          <t>06-llm-agentes</t>
        </is>
      </c>
      <c r="C170" t="inlineStr">
        <is>
          <t>Langchain Intro SOLUCIONES</t>
        </is>
      </c>
      <c r="D170" t="inlineStr">
        <is>
          <t>notebook</t>
        </is>
      </c>
      <c r="E170" t="inlineStr">
        <is>
          <t>06-llm-agentes/03-practicas/serving-orquestacion/Fase1/94_langchain_intro_SOLUCIONES.ipynb</t>
        </is>
      </c>
      <c r="F170" t="inlineStr">
        <is>
          <t>Revisar</t>
        </is>
      </c>
      <c r="G170"/>
      <c r="H170" t="inlineStr">
        <is>
          <t>Pendiente</t>
        </is>
      </c>
      <c r="I170"/>
      <c r="J170"/>
      <c r="K170"/>
      <c r="L170"/>
      <c r="M170">
        <f>IF(AND(ISNUMBER(K170),ISNUMBER(L170)),MAX(K170-L170,0),"")</f>
      </c>
      <c r="N170"/>
      <c r="O170"/>
      <c r="P170"/>
    </row>
    <row r="171">
      <c r="A171" t="inlineStr">
        <is>
          <t>06</t>
        </is>
      </c>
      <c r="B171" t="inlineStr">
        <is>
          <t>06-llm-agentes</t>
        </is>
      </c>
      <c r="C171" t="inlineStr">
        <is>
          <t>Langchain Intro SOLUCIONES TESTS</t>
        </is>
      </c>
      <c r="D171" t="inlineStr">
        <is>
          <t>notebook</t>
        </is>
      </c>
      <c r="E171" t="inlineStr">
        <is>
          <t>06-llm-agentes/03-practicas/serving-orquestacion/Fase1/94_langchain_intro_SOLUCIONES_TESTS.ipynb</t>
        </is>
      </c>
      <c r="F171" t="inlineStr">
        <is>
          <t>Revisar</t>
        </is>
      </c>
      <c r="G171"/>
      <c r="H171" t="inlineStr">
        <is>
          <t>Pendiente</t>
        </is>
      </c>
      <c r="I171"/>
      <c r="J171"/>
      <c r="K171"/>
      <c r="L171"/>
      <c r="M171">
        <f>IF(AND(ISNUMBER(K171),ISNUMBER(L171)),MAX(K171-L171,0),"")</f>
      </c>
      <c r="N171"/>
      <c r="O171"/>
      <c r="P171"/>
    </row>
    <row r="172">
      <c r="A172" t="inlineStr">
        <is>
          <t>06</t>
        </is>
      </c>
      <c r="B172" t="inlineStr">
        <is>
          <t>06-llm-agentes</t>
        </is>
      </c>
      <c r="C172" t="inlineStr">
        <is>
          <t>Dspy Intro</t>
        </is>
      </c>
      <c r="D172" t="inlineStr">
        <is>
          <t>notebook</t>
        </is>
      </c>
      <c r="E172" t="inlineStr">
        <is>
          <t>06-llm-agentes/03-practicas/serving-orquestacion/Fase1/95_dspy_intro.ipynb</t>
        </is>
      </c>
      <c r="F172" t="inlineStr">
        <is>
          <t>Revisar</t>
        </is>
      </c>
      <c r="G172"/>
      <c r="H172" t="inlineStr">
        <is>
          <t>Pendiente</t>
        </is>
      </c>
      <c r="I172"/>
      <c r="J172"/>
      <c r="K172"/>
      <c r="L172"/>
      <c r="M172">
        <f>IF(AND(ISNUMBER(K172),ISNUMBER(L172)),MAX(K172-L172,0),"")</f>
      </c>
      <c r="N172"/>
      <c r="O172"/>
      <c r="P172"/>
    </row>
    <row r="173">
      <c r="A173" t="inlineStr">
        <is>
          <t>06</t>
        </is>
      </c>
      <c r="B173" t="inlineStr">
        <is>
          <t>06-llm-agentes</t>
        </is>
      </c>
      <c r="C173" t="inlineStr">
        <is>
          <t>Dspy Intro SOLUCIONES</t>
        </is>
      </c>
      <c r="D173" t="inlineStr">
        <is>
          <t>notebook</t>
        </is>
      </c>
      <c r="E173" t="inlineStr">
        <is>
          <t>06-llm-agentes/03-practicas/serving-orquestacion/Fase1/95_dspy_intro_SOLUCIONES.ipynb</t>
        </is>
      </c>
      <c r="F173" t="inlineStr">
        <is>
          <t>Revisar</t>
        </is>
      </c>
      <c r="G173"/>
      <c r="H173" t="inlineStr">
        <is>
          <t>Pendiente</t>
        </is>
      </c>
      <c r="I173"/>
      <c r="J173"/>
      <c r="K173"/>
      <c r="L173"/>
      <c r="M173">
        <f>IF(AND(ISNUMBER(K173),ISNUMBER(L173)),MAX(K173-L173,0),"")</f>
      </c>
      <c r="N173"/>
      <c r="O173"/>
      <c r="P173"/>
    </row>
    <row r="174">
      <c r="A174" t="inlineStr">
        <is>
          <t>06</t>
        </is>
      </c>
      <c r="B174" t="inlineStr">
        <is>
          <t>06-llm-agentes</t>
        </is>
      </c>
      <c r="C174" t="inlineStr">
        <is>
          <t>Dspy Intro SOLUCIONES TESTS</t>
        </is>
      </c>
      <c r="D174" t="inlineStr">
        <is>
          <t>notebook</t>
        </is>
      </c>
      <c r="E174" t="inlineStr">
        <is>
          <t>06-llm-agentes/03-practicas/serving-orquestacion/Fase1/95_dspy_intro_SOLUCIONES_TESTS.ipynb</t>
        </is>
      </c>
      <c r="F174" t="inlineStr">
        <is>
          <t>Revisar</t>
        </is>
      </c>
      <c r="G174"/>
      <c r="H174" t="inlineStr">
        <is>
          <t>Pendiente</t>
        </is>
      </c>
      <c r="I174"/>
      <c r="J174"/>
      <c r="K174"/>
      <c r="L174"/>
      <c r="M174">
        <f>IF(AND(ISNUMBER(K174),ISNUMBER(L174)),MAX(K174-L174,0),"")</f>
      </c>
      <c r="N174"/>
      <c r="O174"/>
      <c r="P174"/>
    </row>
    <row r="175">
      <c r="A175" t="inlineStr">
        <is>
          <t>06</t>
        </is>
      </c>
      <c r="B175" t="inlineStr">
        <is>
          <t>06-llm-agentes</t>
        </is>
      </c>
      <c r="C175" t="inlineStr">
        <is>
          <t>Bloque de serving y orquestación – Fase 1: Introducción práctica</t>
        </is>
      </c>
      <c r="D175" t="inlineStr">
        <is>
          <t>guía/rúbrica</t>
        </is>
      </c>
      <c r="E175" t="inlineStr">
        <is>
          <t>06-llm-agentes/03-practicas/serving-orquestacion/Fase1/guia-fase1.md</t>
        </is>
      </c>
      <c r="F175" t="inlineStr">
        <is>
          <t>Revisar</t>
        </is>
      </c>
      <c r="G175"/>
      <c r="H175" t="inlineStr">
        <is>
          <t>Pendiente</t>
        </is>
      </c>
      <c r="I175"/>
      <c r="J175"/>
      <c r="K175"/>
      <c r="L175"/>
      <c r="M175">
        <f>IF(AND(ISNUMBER(K175),ISNUMBER(L175)),MAX(K175-L175,0),"")</f>
      </c>
      <c r="N175"/>
      <c r="O175"/>
      <c r="P175"/>
    </row>
    <row r="176">
      <c r="A176" t="inlineStr">
        <is>
          <t>06</t>
        </is>
      </c>
      <c r="B176" t="inlineStr">
        <is>
          <t>06-llm-agentes</t>
        </is>
      </c>
      <c r="C176" t="inlineStr">
        <is>
          <t>Mlflow Llamaindex Rag</t>
        </is>
      </c>
      <c r="D176" t="inlineStr">
        <is>
          <t>notebook</t>
        </is>
      </c>
      <c r="E176" t="inlineStr">
        <is>
          <t>06-llm-agentes/03-practicas/serving-orquestacion/Fase2/100_mlflow_llamaindex_rag.ipynb</t>
        </is>
      </c>
      <c r="F176" t="inlineStr">
        <is>
          <t>Revisar</t>
        </is>
      </c>
      <c r="G176"/>
      <c r="H176" t="inlineStr">
        <is>
          <t>Pendiente</t>
        </is>
      </c>
      <c r="I176"/>
      <c r="J176"/>
      <c r="K176"/>
      <c r="L176"/>
      <c r="M176">
        <f>IF(AND(ISNUMBER(K176),ISNUMBER(L176)),MAX(K176-L176,0),"")</f>
      </c>
      <c r="N176"/>
      <c r="O176"/>
      <c r="P176"/>
    </row>
    <row r="177">
      <c r="A177" t="inlineStr">
        <is>
          <t>06</t>
        </is>
      </c>
      <c r="B177" t="inlineStr">
        <is>
          <t>06-llm-agentes</t>
        </is>
      </c>
      <c r="C177" t="inlineStr">
        <is>
          <t>Langgraph Orquestacion</t>
        </is>
      </c>
      <c r="D177" t="inlineStr">
        <is>
          <t>notebook</t>
        </is>
      </c>
      <c r="E177" t="inlineStr">
        <is>
          <t>06-llm-agentes/03-practicas/serving-orquestacion/Fase2/101_langgraph_orquestacion.ipynb</t>
        </is>
      </c>
      <c r="F177" t="inlineStr">
        <is>
          <t>Revisar</t>
        </is>
      </c>
      <c r="G177"/>
      <c r="H177" t="inlineStr">
        <is>
          <t>Pendiente</t>
        </is>
      </c>
      <c r="I177"/>
      <c r="J177"/>
      <c r="K177"/>
      <c r="L177"/>
      <c r="M177">
        <f>IF(AND(ISNUMBER(K177),ISNUMBER(L177)),MAX(K177-L177,0),"")</f>
      </c>
      <c r="N177"/>
      <c r="O177"/>
      <c r="P177"/>
    </row>
    <row r="178">
      <c r="A178" t="inlineStr">
        <is>
          <t>06</t>
        </is>
      </c>
      <c r="B178" t="inlineStr">
        <is>
          <t>06-llm-agentes</t>
        </is>
      </c>
      <c r="C178" t="inlineStr">
        <is>
          <t>Ollama Modelos Locales</t>
        </is>
      </c>
      <c r="D178" t="inlineStr">
        <is>
          <t>notebook</t>
        </is>
      </c>
      <c r="E178" t="inlineStr">
        <is>
          <t>06-llm-agentes/03-practicas/serving-orquestacion/Fase2/102_ollama_modelos_locales.ipynb</t>
        </is>
      </c>
      <c r="F178" t="inlineStr">
        <is>
          <t>Revisar</t>
        </is>
      </c>
      <c r="G178"/>
      <c r="H178" t="inlineStr">
        <is>
          <t>Pendiente</t>
        </is>
      </c>
      <c r="I178"/>
      <c r="J178"/>
      <c r="K178"/>
      <c r="L178"/>
      <c r="M178">
        <f>IF(AND(ISNUMBER(K178),ISNUMBER(L178)),MAX(K178-L178,0),"")</f>
      </c>
      <c r="N178"/>
      <c r="O178"/>
      <c r="P178"/>
    </row>
    <row r="179">
      <c r="A179" t="inlineStr">
        <is>
          <t>06</t>
        </is>
      </c>
      <c r="B179" t="inlineStr">
        <is>
          <t>06-llm-agentes</t>
        </is>
      </c>
      <c r="C179" t="inlineStr">
        <is>
          <t>Fastapi Serving Modelos</t>
        </is>
      </c>
      <c r="D179" t="inlineStr">
        <is>
          <t>notebook</t>
        </is>
      </c>
      <c r="E179" t="inlineStr">
        <is>
          <t>06-llm-agentes/03-practicas/serving-orquestacion/Fase2/103_fastapi_serving_modelos.ipynb</t>
        </is>
      </c>
      <c r="F179" t="inlineStr">
        <is>
          <t>Revisar</t>
        </is>
      </c>
      <c r="G179"/>
      <c r="H179" t="inlineStr">
        <is>
          <t>Pendiente</t>
        </is>
      </c>
      <c r="I179"/>
      <c r="J179"/>
      <c r="K179"/>
      <c r="L179"/>
      <c r="M179">
        <f>IF(AND(ISNUMBER(K179),ISNUMBER(L179)),MAX(K179-L179,0),"")</f>
      </c>
      <c r="N179"/>
      <c r="O179"/>
      <c r="P179"/>
    </row>
    <row r="180">
      <c r="A180" t="inlineStr">
        <is>
          <t>06</t>
        </is>
      </c>
      <c r="B180" t="inlineStr">
        <is>
          <t>06-llm-agentes</t>
        </is>
      </c>
      <c r="C180" t="inlineStr">
        <is>
          <t>Gradio Model</t>
        </is>
      </c>
      <c r="D180" t="inlineStr">
        <is>
          <t>notebook</t>
        </is>
      </c>
      <c r="E180" t="inlineStr">
        <is>
          <t>06-llm-agentes/03-practicas/serving-orquestacion/Fase2/96_gradio_model.ipynb</t>
        </is>
      </c>
      <c r="F180" t="inlineStr">
        <is>
          <t>Revisar</t>
        </is>
      </c>
      <c r="G180"/>
      <c r="H180" t="inlineStr">
        <is>
          <t>Pendiente</t>
        </is>
      </c>
      <c r="I180"/>
      <c r="J180"/>
      <c r="K180"/>
      <c r="L180"/>
      <c r="M180">
        <f>IF(AND(ISNUMBER(K180),ISNUMBER(L180)),MAX(K180-L180,0),"")</f>
      </c>
      <c r="N180"/>
      <c r="O180"/>
      <c r="P180"/>
    </row>
    <row r="181">
      <c r="A181" t="inlineStr">
        <is>
          <t>06</t>
        </is>
      </c>
      <c r="B181" t="inlineStr">
        <is>
          <t>06-llm-agentes</t>
        </is>
      </c>
      <c r="C181" t="inlineStr">
        <is>
          <t>Gradio Model SOLUCIONES</t>
        </is>
      </c>
      <c r="D181" t="inlineStr">
        <is>
          <t>notebook</t>
        </is>
      </c>
      <c r="E181" t="inlineStr">
        <is>
          <t>06-llm-agentes/03-practicas/serving-orquestacion/Fase2/96_gradio_model_SOLUCIONES.ipynb</t>
        </is>
      </c>
      <c r="F181" t="inlineStr">
        <is>
          <t>Revisar</t>
        </is>
      </c>
      <c r="G181"/>
      <c r="H181" t="inlineStr">
        <is>
          <t>Pendiente</t>
        </is>
      </c>
      <c r="I181"/>
      <c r="J181"/>
      <c r="K181"/>
      <c r="L181"/>
      <c r="M181">
        <f>IF(AND(ISNUMBER(K181),ISNUMBER(L181)),MAX(K181-L181,0),"")</f>
      </c>
      <c r="N181"/>
      <c r="O181"/>
      <c r="P181"/>
    </row>
    <row r="182">
      <c r="A182" t="inlineStr">
        <is>
          <t>06</t>
        </is>
      </c>
      <c r="B182" t="inlineStr">
        <is>
          <t>06-llm-agentes</t>
        </is>
      </c>
      <c r="C182" t="inlineStr">
        <is>
          <t>Gradio Model SOLUCIONES TESTS</t>
        </is>
      </c>
      <c r="D182" t="inlineStr">
        <is>
          <t>notebook</t>
        </is>
      </c>
      <c r="E182" t="inlineStr">
        <is>
          <t>06-llm-agentes/03-practicas/serving-orquestacion/Fase2/96_gradio_model_SOLUCIONES_TESTS.ipynb</t>
        </is>
      </c>
      <c r="F182" t="inlineStr">
        <is>
          <t>Revisar</t>
        </is>
      </c>
      <c r="G182"/>
      <c r="H182" t="inlineStr">
        <is>
          <t>Pendiente</t>
        </is>
      </c>
      <c r="I182"/>
      <c r="J182"/>
      <c r="K182"/>
      <c r="L182"/>
      <c r="M182">
        <f>IF(AND(ISNUMBER(K182),ISNUMBER(L182)),MAX(K182-L182,0),"")</f>
      </c>
      <c r="N182"/>
      <c r="O182"/>
      <c r="P182"/>
    </row>
    <row r="183">
      <c r="A183" t="inlineStr">
        <is>
          <t>06</t>
        </is>
      </c>
      <c r="B183" t="inlineStr">
        <is>
          <t>06-llm-agentes</t>
        </is>
      </c>
      <c r="C183" t="inlineStr">
        <is>
          <t>Langchain Pipeline</t>
        </is>
      </c>
      <c r="D183" t="inlineStr">
        <is>
          <t>notebook</t>
        </is>
      </c>
      <c r="E183" t="inlineStr">
        <is>
          <t>06-llm-agentes/03-practicas/serving-orquestacion/Fase2/97_langchain_pipeline.ipynb</t>
        </is>
      </c>
      <c r="F183" t="inlineStr">
        <is>
          <t>Revisar</t>
        </is>
      </c>
      <c r="G183"/>
      <c r="H183" t="inlineStr">
        <is>
          <t>Pendiente</t>
        </is>
      </c>
      <c r="I183"/>
      <c r="J183"/>
      <c r="K183"/>
      <c r="L183"/>
      <c r="M183">
        <f>IF(AND(ISNUMBER(K183),ISNUMBER(L183)),MAX(K183-L183,0),"")</f>
      </c>
      <c r="N183"/>
      <c r="O183"/>
      <c r="P183"/>
    </row>
    <row r="184">
      <c r="A184" t="inlineStr">
        <is>
          <t>06</t>
        </is>
      </c>
      <c r="B184" t="inlineStr">
        <is>
          <t>06-llm-agentes</t>
        </is>
      </c>
      <c r="C184" t="inlineStr">
        <is>
          <t>Langchain Pipeline SOLUCIONES</t>
        </is>
      </c>
      <c r="D184" t="inlineStr">
        <is>
          <t>notebook</t>
        </is>
      </c>
      <c r="E184" t="inlineStr">
        <is>
          <t>06-llm-agentes/03-practicas/serving-orquestacion/Fase2/97_langchain_pipeline_SOLUCIONES.ipynb</t>
        </is>
      </c>
      <c r="F184" t="inlineStr">
        <is>
          <t>Revisar</t>
        </is>
      </c>
      <c r="G184"/>
      <c r="H184" t="inlineStr">
        <is>
          <t>Pendiente</t>
        </is>
      </c>
      <c r="I184"/>
      <c r="J184"/>
      <c r="K184"/>
      <c r="L184"/>
      <c r="M184">
        <f>IF(AND(ISNUMBER(K184),ISNUMBER(L184)),MAX(K184-L184,0),"")</f>
      </c>
      <c r="N184"/>
      <c r="O184"/>
      <c r="P184"/>
    </row>
    <row r="185">
      <c r="A185" t="inlineStr">
        <is>
          <t>06</t>
        </is>
      </c>
      <c r="B185" t="inlineStr">
        <is>
          <t>06-llm-agentes</t>
        </is>
      </c>
      <c r="C185" t="inlineStr">
        <is>
          <t>Langchain Pipeline SOLUCIONES TESTS</t>
        </is>
      </c>
      <c r="D185" t="inlineStr">
        <is>
          <t>notebook</t>
        </is>
      </c>
      <c r="E185" t="inlineStr">
        <is>
          <t>06-llm-agentes/03-practicas/serving-orquestacion/Fase2/97_langchain_pipeline_SOLUCIONES_TESTS.ipynb</t>
        </is>
      </c>
      <c r="F185" t="inlineStr">
        <is>
          <t>Revisar</t>
        </is>
      </c>
      <c r="G185"/>
      <c r="H185" t="inlineStr">
        <is>
          <t>Pendiente</t>
        </is>
      </c>
      <c r="I185"/>
      <c r="J185"/>
      <c r="K185"/>
      <c r="L185"/>
      <c r="M185">
        <f>IF(AND(ISNUMBER(K185),ISNUMBER(L185)),MAX(K185-L185,0),"")</f>
      </c>
      <c r="N185"/>
      <c r="O185"/>
      <c r="P185"/>
    </row>
    <row r="186">
      <c r="A186" t="inlineStr">
        <is>
          <t>06</t>
        </is>
      </c>
      <c r="B186" t="inlineStr">
        <is>
          <t>06-llm-agentes</t>
        </is>
      </c>
      <c r="C186" t="inlineStr">
        <is>
          <t>Dspy Mcp</t>
        </is>
      </c>
      <c r="D186" t="inlineStr">
        <is>
          <t>notebook</t>
        </is>
      </c>
      <c r="E186" t="inlineStr">
        <is>
          <t>06-llm-agentes/03-practicas/serving-orquestacion/Fase2/98_dspy_mcp.ipynb</t>
        </is>
      </c>
      <c r="F186" t="inlineStr">
        <is>
          <t>Revisar</t>
        </is>
      </c>
      <c r="G186"/>
      <c r="H186" t="inlineStr">
        <is>
          <t>Pendiente</t>
        </is>
      </c>
      <c r="I186"/>
      <c r="J186"/>
      <c r="K186"/>
      <c r="L186"/>
      <c r="M186">
        <f>IF(AND(ISNUMBER(K186),ISNUMBER(L186)),MAX(K186-L186,0),"")</f>
      </c>
      <c r="N186"/>
      <c r="O186"/>
      <c r="P186"/>
    </row>
    <row r="187">
      <c r="A187" t="inlineStr">
        <is>
          <t>06</t>
        </is>
      </c>
      <c r="B187" t="inlineStr">
        <is>
          <t>06-llm-agentes</t>
        </is>
      </c>
      <c r="C187" t="inlineStr">
        <is>
          <t>Dspy Mcp SOLUCIONES</t>
        </is>
      </c>
      <c r="D187" t="inlineStr">
        <is>
          <t>notebook</t>
        </is>
      </c>
      <c r="E187" t="inlineStr">
        <is>
          <t>06-llm-agentes/03-practicas/serving-orquestacion/Fase2/98_dspy_mcp_SOLUCIONES.ipynb</t>
        </is>
      </c>
      <c r="F187" t="inlineStr">
        <is>
          <t>Revisar</t>
        </is>
      </c>
      <c r="G187"/>
      <c r="H187" t="inlineStr">
        <is>
          <t>Pendiente</t>
        </is>
      </c>
      <c r="I187"/>
      <c r="J187"/>
      <c r="K187"/>
      <c r="L187"/>
      <c r="M187">
        <f>IF(AND(ISNUMBER(K187),ISNUMBER(L187)),MAX(K187-L187,0),"")</f>
      </c>
      <c r="N187"/>
      <c r="O187"/>
      <c r="P187"/>
    </row>
    <row r="188">
      <c r="A188" t="inlineStr">
        <is>
          <t>06</t>
        </is>
      </c>
      <c r="B188" t="inlineStr">
        <is>
          <t>06-llm-agentes</t>
        </is>
      </c>
      <c r="C188" t="inlineStr">
        <is>
          <t>Dspy Mcp SOLUCIONES TESTS</t>
        </is>
      </c>
      <c r="D188" t="inlineStr">
        <is>
          <t>notebook</t>
        </is>
      </c>
      <c r="E188" t="inlineStr">
        <is>
          <t>06-llm-agentes/03-practicas/serving-orquestacion/Fase2/98_dspy_mcp_SOLUCIONES_TESTS.ipynb</t>
        </is>
      </c>
      <c r="F188" t="inlineStr">
        <is>
          <t>Revisar</t>
        </is>
      </c>
      <c r="G188"/>
      <c r="H188" t="inlineStr">
        <is>
          <t>Pendiente</t>
        </is>
      </c>
      <c r="I188"/>
      <c r="J188"/>
      <c r="K188"/>
      <c r="L188"/>
      <c r="M188">
        <f>IF(AND(ISNUMBER(K188),ISNUMBER(L188)),MAX(K188-L188,0),"")</f>
      </c>
      <c r="N188"/>
      <c r="O188"/>
      <c r="P188"/>
    </row>
    <row r="189">
      <c r="A189" t="inlineStr">
        <is>
          <t>06</t>
        </is>
      </c>
      <c r="B189" t="inlineStr">
        <is>
          <t>06-llm-agentes</t>
        </is>
      </c>
      <c r="C189" t="inlineStr">
        <is>
          <t>Herramientas Ia Integradas</t>
        </is>
      </c>
      <c r="D189" t="inlineStr">
        <is>
          <t>notebook</t>
        </is>
      </c>
      <c r="E189" t="inlineStr">
        <is>
          <t>06-llm-agentes/03-practicas/serving-orquestacion/Fase2/99_herramientas_ia_integradas.ipynb</t>
        </is>
      </c>
      <c r="F189" t="inlineStr">
        <is>
          <t>Revisar</t>
        </is>
      </c>
      <c r="G189"/>
      <c r="H189" t="inlineStr">
        <is>
          <t>Pendiente</t>
        </is>
      </c>
      <c r="I189"/>
      <c r="J189"/>
      <c r="K189"/>
      <c r="L189"/>
      <c r="M189">
        <f>IF(AND(ISNUMBER(K189),ISNUMBER(L189)),MAX(K189-L189,0),"")</f>
      </c>
      <c r="N189"/>
      <c r="O189"/>
      <c r="P189"/>
    </row>
    <row r="190">
      <c r="A190" t="inlineStr">
        <is>
          <t>06</t>
        </is>
      </c>
      <c r="B190" t="inlineStr">
        <is>
          <t>06-llm-agentes</t>
        </is>
      </c>
      <c r="C190" t="inlineStr">
        <is>
          <t>Bloque de serving y orquestación – Fase 2: Desarrollo avanzado</t>
        </is>
      </c>
      <c r="D190" t="inlineStr">
        <is>
          <t>guía/rúbrica</t>
        </is>
      </c>
      <c r="E190" t="inlineStr">
        <is>
          <t>06-llm-agentes/03-practicas/serving-orquestacion/Fase2/guia-fase2.md</t>
        </is>
      </c>
      <c r="F190" t="inlineStr">
        <is>
          <t>Revisar</t>
        </is>
      </c>
      <c r="G190"/>
      <c r="H190" t="inlineStr">
        <is>
          <t>Pendiente</t>
        </is>
      </c>
      <c r="I190"/>
      <c r="J190"/>
      <c r="K190"/>
      <c r="L190"/>
      <c r="M190">
        <f>IF(AND(ISNUMBER(K190),ISNUMBER(L190)),MAX(K190-L190,0),"")</f>
      </c>
      <c r="N190"/>
      <c r="O190"/>
      <c r="P190"/>
    </row>
    <row r="191">
      <c r="A191" t="inlineStr">
        <is>
          <t>06</t>
        </is>
      </c>
      <c r="B191" t="inlineStr">
        <is>
          <t>06-llm-agentes</t>
        </is>
      </c>
      <c r="C191" t="inlineStr">
        <is>
          <t>Sesión compactada - Bloque de serving y orquestación</t>
        </is>
      </c>
      <c r="D191" t="inlineStr">
        <is>
          <t>guía/rúbrica</t>
        </is>
      </c>
      <c r="E191" t="inlineStr">
        <is>
          <t>06-llm-agentes/03-practicas/serving-orquestacion/SESION_CONTINUAR.md</t>
        </is>
      </c>
      <c r="F191" t="inlineStr">
        <is>
          <t>Revisar</t>
        </is>
      </c>
      <c r="G191"/>
      <c r="H191" t="inlineStr">
        <is>
          <t>Pendiente</t>
        </is>
      </c>
      <c r="I191"/>
      <c r="J191"/>
      <c r="K191"/>
      <c r="L191"/>
      <c r="M191">
        <f>IF(AND(ISNUMBER(K191),ISNUMBER(L191)),MAX(K191-L191,0),"")</f>
      </c>
      <c r="N191"/>
      <c r="O191"/>
      <c r="P191"/>
    </row>
    <row r="192">
      <c r="A192" t="inlineStr">
        <is>
          <t>06</t>
        </is>
      </c>
      <c r="B192" t="inlineStr">
        <is>
          <t>06-llm-agentes</t>
        </is>
      </c>
      <c r="C192" t="inlineStr">
        <is>
          <t>Sesión separada - Planificación curso siguiente</t>
        </is>
      </c>
      <c r="D192" t="inlineStr">
        <is>
          <t>guía/rúbrica</t>
        </is>
      </c>
      <c r="E192" t="inlineStr">
        <is>
          <t>06-llm-agentes/03-practicas/serving-orquestacion/SESION_SIGUIENTE_CURSO.md</t>
        </is>
      </c>
      <c r="F192" t="inlineStr">
        <is>
          <t>Revisar</t>
        </is>
      </c>
      <c r="G192"/>
      <c r="H192" t="inlineStr">
        <is>
          <t>Pendiente</t>
        </is>
      </c>
      <c r="I192"/>
      <c r="J192"/>
      <c r="K192"/>
      <c r="L192"/>
      <c r="M192">
        <f>IF(AND(ISNUMBER(K192),ISNUMBER(L192)),MAX(K192-L192,0),"")</f>
      </c>
      <c r="N192"/>
      <c r="O192"/>
      <c r="P192"/>
    </row>
    <row r="193">
      <c r="A193" t="inlineStr">
        <is>
          <t>06</t>
        </is>
      </c>
      <c r="B193" t="inlineStr">
        <is>
          <t>06-llm-agentes</t>
        </is>
      </c>
      <c r="C193" t="inlineStr">
        <is>
          <t>Evaluación — UD6 LLM y agentes</t>
        </is>
      </c>
      <c r="D193" t="inlineStr">
        <is>
          <t>guía/rúbrica</t>
        </is>
      </c>
      <c r="E193" t="inlineStr">
        <is>
          <t>06-llm-agentes/04-evaluacion/README.md</t>
        </is>
      </c>
      <c r="F193" t="inlineStr">
        <is>
          <t>Sí</t>
        </is>
      </c>
      <c r="G193"/>
      <c r="H193" t="inlineStr">
        <is>
          <t>Pendiente</t>
        </is>
      </c>
      <c r="I193"/>
      <c r="J193"/>
      <c r="K193"/>
      <c r="L193"/>
      <c r="M193">
        <f>IF(AND(ISNUMBER(K193),ISNUMBER(L193)),MAX(K193-L193,0),"")</f>
      </c>
      <c r="N193"/>
      <c r="O193"/>
      <c r="P193"/>
    </row>
    <row r="194">
      <c r="A194" t="inlineStr">
        <is>
          <t>06</t>
        </is>
      </c>
      <c r="B194" t="inlineStr">
        <is>
          <t>06-llm-agentes</t>
        </is>
      </c>
      <c r="C194" t="inlineStr">
        <is>
          <t>Checklist de entrega — UD6 LLM y agentes</t>
        </is>
      </c>
      <c r="D194" t="inlineStr">
        <is>
          <t>guía/rúbrica</t>
        </is>
      </c>
      <c r="E194" t="inlineStr">
        <is>
          <t>06-llm-agentes/04-evaluacion/checklist-entrega.md</t>
        </is>
      </c>
      <c r="F194" t="inlineStr">
        <is>
          <t>Sí</t>
        </is>
      </c>
      <c r="G194"/>
      <c r="H194" t="inlineStr">
        <is>
          <t>Pendiente</t>
        </is>
      </c>
      <c r="I194"/>
      <c r="J194"/>
      <c r="K194"/>
      <c r="L194"/>
      <c r="M194">
        <f>IF(AND(ISNUMBER(K194),ISNUMBER(L194)),MAX(K194-L194,0),"")</f>
      </c>
      <c r="N194"/>
      <c r="O194"/>
      <c r="P194"/>
    </row>
    <row r="195">
      <c r="A195" t="inlineStr">
        <is>
          <t>06</t>
        </is>
      </c>
      <c r="B195" t="inlineStr">
        <is>
          <t>06-llm-agentes</t>
        </is>
      </c>
      <c r="C195" t="inlineStr">
        <is>
          <t>Cuestionario 1 Interfaces Api Serving</t>
        </is>
      </c>
      <c r="D195" t="inlineStr">
        <is>
          <t>cuestionario</t>
        </is>
      </c>
      <c r="E195" t="inlineStr">
        <is>
          <t>06-llm-agentes/04-evaluacion/cuestionario_1_interfaces_api_serving.gift</t>
        </is>
      </c>
      <c r="F195" t="inlineStr">
        <is>
          <t>Sí</t>
        </is>
      </c>
      <c r="G195"/>
      <c r="H195" t="inlineStr">
        <is>
          <t>Pendiente</t>
        </is>
      </c>
      <c r="I195"/>
      <c r="J195"/>
      <c r="K195"/>
      <c r="L195"/>
      <c r="M195">
        <f>IF(AND(ISNUMBER(K195),ISNUMBER(L195)),MAX(K195-L195,0),"")</f>
      </c>
      <c r="N195"/>
      <c r="O195"/>
      <c r="P195"/>
    </row>
    <row r="196">
      <c r="A196" t="inlineStr">
        <is>
          <t>06</t>
        </is>
      </c>
      <c r="B196" t="inlineStr">
        <is>
          <t>06-llm-agentes</t>
        </is>
      </c>
      <c r="C196" t="inlineStr">
        <is>
          <t>Cuestionario 2 Orquestacion Rag Optimizacion</t>
        </is>
      </c>
      <c r="D196" t="inlineStr">
        <is>
          <t>cuestionario</t>
        </is>
      </c>
      <c r="E196" t="inlineStr">
        <is>
          <t>06-llm-agentes/04-evaluacion/cuestionario_2_orquestacion_rag_optimizacion.gift</t>
        </is>
      </c>
      <c r="F196" t="inlineStr">
        <is>
          <t>Sí</t>
        </is>
      </c>
      <c r="G196"/>
      <c r="H196" t="inlineStr">
        <is>
          <t>Pendiente</t>
        </is>
      </c>
      <c r="I196"/>
      <c r="J196"/>
      <c r="K196"/>
      <c r="L196"/>
      <c r="M196">
        <f>IF(AND(ISNUMBER(K196),ISNUMBER(L196)),MAX(K196-L196,0),"")</f>
      </c>
      <c r="N196"/>
      <c r="O196"/>
      <c r="P196"/>
    </row>
    <row r="197">
      <c r="A197" t="inlineStr">
        <is>
          <t>06</t>
        </is>
      </c>
      <c r="B197" t="inlineStr">
        <is>
          <t>06-llm-agentes</t>
        </is>
      </c>
      <c r="C197" t="inlineStr">
        <is>
          <t>Rúbrica — UD6 LLM y agentes</t>
        </is>
      </c>
      <c r="D197" t="inlineStr">
        <is>
          <t>guía/rúbrica</t>
        </is>
      </c>
      <c r="E197" t="inlineStr">
        <is>
          <t>06-llm-agentes/04-evaluacion/rubrica.md</t>
        </is>
      </c>
      <c r="F197" t="inlineStr">
        <is>
          <t>Sí</t>
        </is>
      </c>
      <c r="G197"/>
      <c r="H197" t="inlineStr">
        <is>
          <t>Pendiente</t>
        </is>
      </c>
      <c r="I197"/>
      <c r="J197"/>
      <c r="K197"/>
      <c r="L197"/>
      <c r="M197">
        <f>IF(AND(ISNUMBER(K197),ISNUMBER(L197)),MAX(K197-L197,0),"")</f>
      </c>
      <c r="N197"/>
      <c r="O197"/>
      <c r="P197"/>
    </row>
    <row r="198">
      <c r="A198" t="inlineStr">
        <is>
          <t>07</t>
        </is>
      </c>
      <c r="B198" t="inlineStr">
        <is>
          <t>UD7 — Convergencia de Herramientas IA</t>
        </is>
      </c>
      <c r="C198" t="inlineStr">
        <is>
          <t>P1 Desarrollo Asistido</t>
        </is>
      </c>
      <c r="D198" t="inlineStr">
        <is>
          <t>notebook</t>
        </is>
      </c>
      <c r="E198" t="inlineStr">
        <is>
          <t>07-convergencia-herramientas/03-practicas/P1_desarrollo_asistido.ipynb</t>
        </is>
      </c>
      <c r="F198" t="inlineStr">
        <is>
          <t>Revisar</t>
        </is>
      </c>
      <c r="G198"/>
      <c r="H198" t="inlineStr">
        <is>
          <t>Pendiente</t>
        </is>
      </c>
      <c r="I198"/>
      <c r="J198"/>
      <c r="K198"/>
      <c r="L198"/>
      <c r="M198">
        <f>IF(AND(ISNUMBER(K198),ISNUMBER(L198)),MAX(K198-L198,0),"")</f>
      </c>
      <c r="N198"/>
      <c r="O198"/>
      <c r="P198"/>
    </row>
    <row r="199">
      <c r="A199" t="inlineStr">
        <is>
          <t>07</t>
        </is>
      </c>
      <c r="B199" t="inlineStr">
        <is>
          <t>UD7 — Convergencia de Herramientas IA</t>
        </is>
      </c>
      <c r="C199" t="inlineStr">
        <is>
          <t>P2 Pipeline Datos</t>
        </is>
      </c>
      <c r="D199" t="inlineStr">
        <is>
          <t>notebook</t>
        </is>
      </c>
      <c r="E199" t="inlineStr">
        <is>
          <t>07-convergencia-herramientas/03-practicas/P2_pipeline_datos.ipynb</t>
        </is>
      </c>
      <c r="F199" t="inlineStr">
        <is>
          <t>Revisar</t>
        </is>
      </c>
      <c r="G199"/>
      <c r="H199" t="inlineStr">
        <is>
          <t>Pendiente</t>
        </is>
      </c>
      <c r="I199"/>
      <c r="J199"/>
      <c r="K199"/>
      <c r="L199"/>
      <c r="M199">
        <f>IF(AND(ISNUMBER(K199),ISNUMBER(L199)),MAX(K199-L199,0),"")</f>
      </c>
      <c r="N199"/>
      <c r="O199"/>
      <c r="P199"/>
    </row>
    <row r="200">
      <c r="A200" t="inlineStr">
        <is>
          <t>07</t>
        </is>
      </c>
      <c r="B200" t="inlineStr">
        <is>
          <t>UD7 — Convergencia de Herramientas IA</t>
        </is>
      </c>
      <c r="C200" t="inlineStr">
        <is>
          <t>P3 Experimentacion Mlflow</t>
        </is>
      </c>
      <c r="D200" t="inlineStr">
        <is>
          <t>notebook</t>
        </is>
      </c>
      <c r="E200" t="inlineStr">
        <is>
          <t>07-convergencia-herramientas/03-practicas/P3_experimentacion_mlflow.ipynb</t>
        </is>
      </c>
      <c r="F200" t="inlineStr">
        <is>
          <t>Revisar</t>
        </is>
      </c>
      <c r="G200"/>
      <c r="H200" t="inlineStr">
        <is>
          <t>Pendiente</t>
        </is>
      </c>
      <c r="I200"/>
      <c r="J200"/>
      <c r="K200"/>
      <c r="L200"/>
      <c r="M200">
        <f>IF(AND(ISNUMBER(K200),ISNUMBER(L200)),MAX(K200-L200,0),"")</f>
      </c>
      <c r="N200"/>
      <c r="O200"/>
      <c r="P200"/>
    </row>
    <row r="201">
      <c r="A201" t="inlineStr">
        <is>
          <t>07</t>
        </is>
      </c>
      <c r="B201" t="inlineStr">
        <is>
          <t>UD7 — Convergencia de Herramientas IA</t>
        </is>
      </c>
      <c r="C201" t="inlineStr">
        <is>
          <t>P4 Orquestacion Prefect</t>
        </is>
      </c>
      <c r="D201" t="inlineStr">
        <is>
          <t>notebook</t>
        </is>
      </c>
      <c r="E201" t="inlineStr">
        <is>
          <t>07-convergencia-herramientas/03-practicas/P4_orquestacion_prefect.ipynb</t>
        </is>
      </c>
      <c r="F201" t="inlineStr">
        <is>
          <t>Revisar</t>
        </is>
      </c>
      <c r="G201"/>
      <c r="H201" t="inlineStr">
        <is>
          <t>Pendiente</t>
        </is>
      </c>
      <c r="I201"/>
      <c r="J201"/>
      <c r="K201"/>
      <c r="L201"/>
      <c r="M201">
        <f>IF(AND(ISNUMBER(K201),ISNUMBER(L201)),MAX(K201-L201,0),"")</f>
      </c>
      <c r="N201"/>
      <c r="O201"/>
      <c r="P201"/>
    </row>
    <row r="202">
      <c r="A202" t="inlineStr">
        <is>
          <t>07</t>
        </is>
      </c>
      <c r="B202" t="inlineStr">
        <is>
          <t>UD7 — Convergencia de Herramientas IA</t>
        </is>
      </c>
      <c r="C202" t="inlineStr">
        <is>
          <t>P5 Serving Api</t>
        </is>
      </c>
      <c r="D202" t="inlineStr">
        <is>
          <t>notebook</t>
        </is>
      </c>
      <c r="E202" t="inlineStr">
        <is>
          <t>07-convergencia-herramientas/03-practicas/P5_serving_api.ipynb</t>
        </is>
      </c>
      <c r="F202" t="inlineStr">
        <is>
          <t>Revisar</t>
        </is>
      </c>
      <c r="G202"/>
      <c r="H202" t="inlineStr">
        <is>
          <t>Pendiente</t>
        </is>
      </c>
      <c r="I202"/>
      <c r="J202"/>
      <c r="K202"/>
      <c r="L202"/>
      <c r="M202">
        <f>IF(AND(ISNUMBER(K202),ISNUMBER(L202)),MAX(K202-L202,0),"")</f>
      </c>
      <c r="N202"/>
      <c r="O202"/>
      <c r="P202"/>
    </row>
    <row r="203">
      <c r="A203" t="inlineStr">
        <is>
          <t>07</t>
        </is>
      </c>
      <c r="B203" t="inlineStr">
        <is>
          <t>UD7 — Convergencia de Herramientas IA</t>
        </is>
      </c>
      <c r="C203" t="inlineStr">
        <is>
          <t>P6 Agentes Rag</t>
        </is>
      </c>
      <c r="D203" t="inlineStr">
        <is>
          <t>notebook</t>
        </is>
      </c>
      <c r="E203" t="inlineStr">
        <is>
          <t>07-convergencia-herramientas/03-practicas/P6_agentes_rag.ipynb</t>
        </is>
      </c>
      <c r="F203" t="inlineStr">
        <is>
          <t>Revisar</t>
        </is>
      </c>
      <c r="G203"/>
      <c r="H203" t="inlineStr">
        <is>
          <t>Pendiente</t>
        </is>
      </c>
      <c r="I203"/>
      <c r="J203"/>
      <c r="K203"/>
      <c r="L203"/>
      <c r="M203">
        <f>IF(AND(ISNUMBER(K203),ISNUMBER(L203)),MAX(K203-L203,0),"")</f>
      </c>
      <c r="N203"/>
      <c r="O203"/>
      <c r="P203"/>
    </row>
    <row r="204">
      <c r="A204" t="inlineStr">
        <is>
          <t>07</t>
        </is>
      </c>
      <c r="B204" t="inlineStr">
        <is>
          <t>UD7 — Convergencia de Herramientas IA</t>
        </is>
      </c>
      <c r="C204" t="inlineStr">
        <is>
          <t>P7 Observabilidad</t>
        </is>
      </c>
      <c r="D204" t="inlineStr">
        <is>
          <t>notebook</t>
        </is>
      </c>
      <c r="E204" t="inlineStr">
        <is>
          <t>07-convergencia-herramientas/03-practicas/P7_observabilidad.ipynb</t>
        </is>
      </c>
      <c r="F204" t="inlineStr">
        <is>
          <t>Revisar</t>
        </is>
      </c>
      <c r="G204"/>
      <c r="H204" t="inlineStr">
        <is>
          <t>Pendiente</t>
        </is>
      </c>
      <c r="I204"/>
      <c r="J204"/>
      <c r="K204"/>
      <c r="L204"/>
      <c r="M204">
        <f>IF(AND(ISNUMBER(K204),ISNUMBER(L204)),MAX(K204-L204,0),"")</f>
      </c>
      <c r="N204"/>
      <c r="O204"/>
      <c r="P204"/>
    </row>
    <row r="205">
      <c r="A205" t="inlineStr">
        <is>
          <t>07</t>
        </is>
      </c>
      <c r="B205" t="inlineStr">
        <is>
          <t>UD7 — Convergencia de Herramientas IA</t>
        </is>
      </c>
      <c r="C205" t="inlineStr">
        <is>
          <t>P8 Ia Responsable</t>
        </is>
      </c>
      <c r="D205" t="inlineStr">
        <is>
          <t>notebook</t>
        </is>
      </c>
      <c r="E205" t="inlineStr">
        <is>
          <t>07-convergencia-herramientas/03-practicas/P8_ia_responsable.ipynb</t>
        </is>
      </c>
      <c r="F205" t="inlineStr">
        <is>
          <t>Revisar</t>
        </is>
      </c>
      <c r="G205"/>
      <c r="H205" t="inlineStr">
        <is>
          <t>Pendiente</t>
        </is>
      </c>
      <c r="I205"/>
      <c r="J205"/>
      <c r="K205"/>
      <c r="L205"/>
      <c r="M205">
        <f>IF(AND(ISNUMBER(K205),ISNUMBER(L205)),MAX(K205-L205,0),"")</f>
      </c>
      <c r="N205"/>
      <c r="O205"/>
      <c r="P205"/>
    </row>
    <row r="206">
      <c r="A206" t="inlineStr">
        <is>
          <t>07</t>
        </is>
      </c>
      <c r="B206" t="inlineStr">
        <is>
          <t>UD7 — Convergencia de Herramientas IA</t>
        </is>
      </c>
      <c r="C206" t="inlineStr">
        <is>
          <t>Evaluación — UD7 Convergencia de Herramientas IA</t>
        </is>
      </c>
      <c r="D206" t="inlineStr">
        <is>
          <t>guía/rúbrica</t>
        </is>
      </c>
      <c r="E206" t="inlineStr">
        <is>
          <t>07-convergencia-herramientas/04-evaluacion/README.md</t>
        </is>
      </c>
      <c r="F206" t="inlineStr">
        <is>
          <t>Sí</t>
        </is>
      </c>
      <c r="G206"/>
      <c r="H206" t="inlineStr">
        <is>
          <t>Pendiente</t>
        </is>
      </c>
      <c r="I206"/>
      <c r="J206"/>
      <c r="K206"/>
      <c r="L206"/>
      <c r="M206">
        <f>IF(AND(ISNUMBER(K206),ISNUMBER(L206)),MAX(K206-L206,0),"")</f>
      </c>
      <c r="N206"/>
      <c r="O206"/>
      <c r="P206"/>
    </row>
    <row r="207">
      <c r="A207" t="inlineStr">
        <is>
          <t>07</t>
        </is>
      </c>
      <c r="B207" t="inlineStr">
        <is>
          <t>UD7 — Convergencia de Herramientas IA</t>
        </is>
      </c>
      <c r="C207" t="inlineStr">
        <is>
          <t>Criterios de Evaluación — UD7 Convergencia de Herramientas IA</t>
        </is>
      </c>
      <c r="D207" t="inlineStr">
        <is>
          <t>guía/rúbrica</t>
        </is>
      </c>
      <c r="E207" t="inlineStr">
        <is>
          <t>07-convergencia-herramientas/04-evaluacion/criterios_evaluacion.md</t>
        </is>
      </c>
      <c r="F207" t="inlineStr">
        <is>
          <t>Sí</t>
        </is>
      </c>
      <c r="G207"/>
      <c r="H207" t="inlineStr">
        <is>
          <t>Pendiente</t>
        </is>
      </c>
      <c r="I207"/>
      <c r="J207"/>
      <c r="K207"/>
      <c r="L207"/>
      <c r="M207">
        <f>IF(AND(ISNUMBER(K207),ISNUMBER(L207)),MAX(K207-L207,0),"")</f>
      </c>
      <c r="N207"/>
      <c r="O207"/>
      <c r="P207"/>
    </row>
    <row r="208">
      <c r="A208" t="inlineStr">
        <is>
          <t>07</t>
        </is>
      </c>
      <c r="B208" t="inlineStr">
        <is>
          <t>UD7 — Convergencia de Herramientas IA</t>
        </is>
      </c>
      <c r="C208" t="inlineStr">
        <is>
          <t>Examen Teorico</t>
        </is>
      </c>
      <c r="D208" t="inlineStr">
        <is>
          <t>cuestionario</t>
        </is>
      </c>
      <c r="E208" t="inlineStr">
        <is>
          <t>07-convergencia-herramientas/04-evaluacion/examen_teorico.gift</t>
        </is>
      </c>
      <c r="F208" t="inlineStr">
        <is>
          <t>Sí</t>
        </is>
      </c>
      <c r="G208"/>
      <c r="H208" t="inlineStr">
        <is>
          <t>Pendiente</t>
        </is>
      </c>
      <c r="I208"/>
      <c r="J208"/>
      <c r="K208"/>
      <c r="L208"/>
      <c r="M208">
        <f>IF(AND(ISNUMBER(K208),ISNUMBER(L208)),MAX(K208-L208,0),"")</f>
      </c>
      <c r="N208"/>
      <c r="O208"/>
      <c r="P208"/>
    </row>
    <row r="209">
      <c r="A209" t="inlineStr">
        <is>
          <t>07</t>
        </is>
      </c>
      <c r="B209" t="inlineStr">
        <is>
          <t>UD7 — Convergencia de Herramientas IA</t>
        </is>
      </c>
      <c r="C209" t="inlineStr">
        <is>
          <t>Rúbrica del Proyecto final de UD7 — Convergencia de Herramientas IA</t>
        </is>
      </c>
      <c r="D209" t="inlineStr">
        <is>
          <t>guía/rúbrica</t>
        </is>
      </c>
      <c r="E209" t="inlineStr">
        <is>
          <t>07-convergencia-herramientas/04-evaluacion/rubrica_proyecto.md</t>
        </is>
      </c>
      <c r="F209" t="inlineStr">
        <is>
          <t>Sí</t>
        </is>
      </c>
      <c r="G209"/>
      <c r="H209" t="inlineStr">
        <is>
          <t>Pendiente</t>
        </is>
      </c>
      <c r="I209"/>
      <c r="J209"/>
      <c r="K209"/>
      <c r="L209"/>
      <c r="M209">
        <f>IF(AND(ISNUMBER(K209),ISNUMBER(L209)),MAX(K209-L209,0),"")</f>
      </c>
      <c r="N209"/>
      <c r="O209"/>
      <c r="P209"/>
    </row>
    <row r="210">
      <c r="A210" t="inlineStr">
        <is>
          <t>08</t>
        </is>
      </c>
      <c r="B210" t="inlineStr">
        <is>
          <t>08-vision-xai</t>
        </is>
      </c>
      <c r="C210" t="inlineStr">
        <is>
          <t>Bloque 81-83 – Video análisis y seguimiento de objetos</t>
        </is>
      </c>
      <c r="D210" t="inlineStr">
        <is>
          <t>guía/rúbrica</t>
        </is>
      </c>
      <c r="E210" t="inlineStr">
        <is>
          <t>08-vision-xai/03-practicas/00-guia-tracking.md</t>
        </is>
      </c>
      <c r="F210" t="inlineStr">
        <is>
          <t>Revisar</t>
        </is>
      </c>
      <c r="G210"/>
      <c r="H210" t="inlineStr">
        <is>
          <t>Pendiente</t>
        </is>
      </c>
      <c r="I210"/>
      <c r="J210"/>
      <c r="K210"/>
      <c r="L210"/>
      <c r="M210">
        <f>IF(AND(ISNUMBER(K210),ISNUMBER(L210)),MAX(K210-L210,0),"")</f>
      </c>
      <c r="N210"/>
      <c r="O210"/>
      <c r="P210"/>
    </row>
    <row r="211">
      <c r="A211" t="inlineStr">
        <is>
          <t>08</t>
        </is>
      </c>
      <c r="B211" t="inlineStr">
        <is>
          <t>08-vision-xai</t>
        </is>
      </c>
      <c r="C211" t="inlineStr">
        <is>
          <t>Bloque 84-86 – Explicabilidad en modelos de Visión y NLP</t>
        </is>
      </c>
      <c r="D211" t="inlineStr">
        <is>
          <t>guía/rúbrica</t>
        </is>
      </c>
      <c r="E211" t="inlineStr">
        <is>
          <t>08-vision-xai/03-practicas/00-guia-xai.md</t>
        </is>
      </c>
      <c r="F211" t="inlineStr">
        <is>
          <t>Revisar</t>
        </is>
      </c>
      <c r="G211"/>
      <c r="H211" t="inlineStr">
        <is>
          <t>Pendiente</t>
        </is>
      </c>
      <c r="I211"/>
      <c r="J211"/>
      <c r="K211"/>
      <c r="L211"/>
      <c r="M211">
        <f>IF(AND(ISNUMBER(K211),ISNUMBER(L211)),MAX(K211-L211,0),"")</f>
      </c>
      <c r="N211"/>
      <c r="O211"/>
      <c r="P211"/>
    </row>
    <row r="212">
      <c r="A212" t="inlineStr">
        <is>
          <t>08</t>
        </is>
      </c>
      <c r="B212" t="inlineStr">
        <is>
          <t>08-vision-xai</t>
        </is>
      </c>
      <c r="C212" t="inlineStr">
        <is>
          <t>Yolov8 Tracking</t>
        </is>
      </c>
      <c r="D212" t="inlineStr">
        <is>
          <t>notebook</t>
        </is>
      </c>
      <c r="E212" t="inlineStr">
        <is>
          <t>08-vision-xai/03-practicas/81_yolov8_tracking.ipynb</t>
        </is>
      </c>
      <c r="F212" t="inlineStr">
        <is>
          <t>Revisar</t>
        </is>
      </c>
      <c r="G212"/>
      <c r="H212" t="inlineStr">
        <is>
          <t>Pendiente</t>
        </is>
      </c>
      <c r="I212"/>
      <c r="J212"/>
      <c r="K212"/>
      <c r="L212"/>
      <c r="M212">
        <f>IF(AND(ISNUMBER(K212),ISNUMBER(L212)),MAX(K212-L212,0),"")</f>
      </c>
      <c r="N212"/>
      <c r="O212"/>
      <c r="P212"/>
    </row>
    <row r="213">
      <c r="A213" t="inlineStr">
        <is>
          <t>08</t>
        </is>
      </c>
      <c r="B213" t="inlineStr">
        <is>
          <t>08-vision-xai</t>
        </is>
      </c>
      <c r="C213" t="inlineStr">
        <is>
          <t>Yolov8 Tracking SOLUCIONES</t>
        </is>
      </c>
      <c r="D213" t="inlineStr">
        <is>
          <t>notebook</t>
        </is>
      </c>
      <c r="E213" t="inlineStr">
        <is>
          <t>08-vision-xai/03-practicas/81_yolov8_tracking_SOLUCIONES.ipynb</t>
        </is>
      </c>
      <c r="F213" t="inlineStr">
        <is>
          <t>Revisar</t>
        </is>
      </c>
      <c r="G213"/>
      <c r="H213" t="inlineStr">
        <is>
          <t>Pendiente</t>
        </is>
      </c>
      <c r="I213"/>
      <c r="J213"/>
      <c r="K213"/>
      <c r="L213"/>
      <c r="M213">
        <f>IF(AND(ISNUMBER(K213),ISNUMBER(L213)),MAX(K213-L213,0),"")</f>
      </c>
      <c r="N213"/>
      <c r="O213"/>
      <c r="P213"/>
    </row>
    <row r="214">
      <c r="A214" t="inlineStr">
        <is>
          <t>08</t>
        </is>
      </c>
      <c r="B214" t="inlineStr">
        <is>
          <t>08-vision-xai</t>
        </is>
      </c>
      <c r="C214" t="inlineStr">
        <is>
          <t>Yolov8 Tracking SOLUCIONES TESTS</t>
        </is>
      </c>
      <c r="D214" t="inlineStr">
        <is>
          <t>notebook</t>
        </is>
      </c>
      <c r="E214" t="inlineStr">
        <is>
          <t>08-vision-xai/03-practicas/81_yolov8_tracking_SOLUCIONES_TESTS.ipynb</t>
        </is>
      </c>
      <c r="F214" t="inlineStr">
        <is>
          <t>Revisar</t>
        </is>
      </c>
      <c r="G214"/>
      <c r="H214" t="inlineStr">
        <is>
          <t>Pendiente</t>
        </is>
      </c>
      <c r="I214"/>
      <c r="J214"/>
      <c r="K214"/>
      <c r="L214"/>
      <c r="M214">
        <f>IF(AND(ISNUMBER(K214),ISNUMBER(L214)),MAX(K214-L214,0),"")</f>
      </c>
      <c r="N214"/>
      <c r="O214"/>
      <c r="P214"/>
    </row>
    <row r="215">
      <c r="A215" t="inlineStr">
        <is>
          <t>08</t>
        </is>
      </c>
      <c r="B215" t="inlineStr">
        <is>
          <t>08-vision-xai</t>
        </is>
      </c>
      <c r="C215" t="inlineStr">
        <is>
          <t>Sort Tracking</t>
        </is>
      </c>
      <c r="D215" t="inlineStr">
        <is>
          <t>notebook</t>
        </is>
      </c>
      <c r="E215" t="inlineStr">
        <is>
          <t>08-vision-xai/03-practicas/82_sort_tracking.ipynb</t>
        </is>
      </c>
      <c r="F215" t="inlineStr">
        <is>
          <t>Revisar</t>
        </is>
      </c>
      <c r="G215"/>
      <c r="H215" t="inlineStr">
        <is>
          <t>Pendiente</t>
        </is>
      </c>
      <c r="I215"/>
      <c r="J215"/>
      <c r="K215"/>
      <c r="L215"/>
      <c r="M215">
        <f>IF(AND(ISNUMBER(K215),ISNUMBER(L215)),MAX(K215-L215,0),"")</f>
      </c>
      <c r="N215"/>
      <c r="O215"/>
      <c r="P215"/>
    </row>
    <row r="216">
      <c r="A216" t="inlineStr">
        <is>
          <t>08</t>
        </is>
      </c>
      <c r="B216" t="inlineStr">
        <is>
          <t>08-vision-xai</t>
        </is>
      </c>
      <c r="C216" t="inlineStr">
        <is>
          <t>Sort Tracking SOLUCIONES</t>
        </is>
      </c>
      <c r="D216" t="inlineStr">
        <is>
          <t>notebook</t>
        </is>
      </c>
      <c r="E216" t="inlineStr">
        <is>
          <t>08-vision-xai/03-practicas/82_sort_tracking_SOLUCIONES.ipynb</t>
        </is>
      </c>
      <c r="F216" t="inlineStr">
        <is>
          <t>Revisar</t>
        </is>
      </c>
      <c r="G216"/>
      <c r="H216" t="inlineStr">
        <is>
          <t>Pendiente</t>
        </is>
      </c>
      <c r="I216"/>
      <c r="J216"/>
      <c r="K216"/>
      <c r="L216"/>
      <c r="M216">
        <f>IF(AND(ISNUMBER(K216),ISNUMBER(L216)),MAX(K216-L216,0),"")</f>
      </c>
      <c r="N216"/>
      <c r="O216"/>
      <c r="P216"/>
    </row>
    <row r="217">
      <c r="A217" t="inlineStr">
        <is>
          <t>08</t>
        </is>
      </c>
      <c r="B217" t="inlineStr">
        <is>
          <t>08-vision-xai</t>
        </is>
      </c>
      <c r="C217" t="inlineStr">
        <is>
          <t>Sort Tracking SOLUCIONES TESTS</t>
        </is>
      </c>
      <c r="D217" t="inlineStr">
        <is>
          <t>notebook</t>
        </is>
      </c>
      <c r="E217" t="inlineStr">
        <is>
          <t>08-vision-xai/03-practicas/82_sort_tracking_SOLUCIONES_TESTS.ipynb</t>
        </is>
      </c>
      <c r="F217" t="inlineStr">
        <is>
          <t>Revisar</t>
        </is>
      </c>
      <c r="G217"/>
      <c r="H217" t="inlineStr">
        <is>
          <t>Pendiente</t>
        </is>
      </c>
      <c r="I217"/>
      <c r="J217"/>
      <c r="K217"/>
      <c r="L217"/>
      <c r="M217">
        <f>IF(AND(ISNUMBER(K217),ISNUMBER(L217)),MAX(K217-L217,0),"")</f>
      </c>
      <c r="N217"/>
      <c r="O217"/>
      <c r="P217"/>
    </row>
    <row r="218">
      <c r="A218" t="inlineStr">
        <is>
          <t>08</t>
        </is>
      </c>
      <c r="B218" t="inlineStr">
        <is>
          <t>08-vision-xai</t>
        </is>
      </c>
      <c r="C218" t="inlineStr">
        <is>
          <t>Metrics Tracking</t>
        </is>
      </c>
      <c r="D218" t="inlineStr">
        <is>
          <t>notebook</t>
        </is>
      </c>
      <c r="E218" t="inlineStr">
        <is>
          <t>08-vision-xai/03-practicas/83_metrics_tracking.ipynb</t>
        </is>
      </c>
      <c r="F218" t="inlineStr">
        <is>
          <t>Revisar</t>
        </is>
      </c>
      <c r="G218"/>
      <c r="H218" t="inlineStr">
        <is>
          <t>Pendiente</t>
        </is>
      </c>
      <c r="I218"/>
      <c r="J218"/>
      <c r="K218"/>
      <c r="L218"/>
      <c r="M218">
        <f>IF(AND(ISNUMBER(K218),ISNUMBER(L218)),MAX(K218-L218,0),"")</f>
      </c>
      <c r="N218"/>
      <c r="O218"/>
      <c r="P218"/>
    </row>
    <row r="219">
      <c r="A219" t="inlineStr">
        <is>
          <t>08</t>
        </is>
      </c>
      <c r="B219" t="inlineStr">
        <is>
          <t>08-vision-xai</t>
        </is>
      </c>
      <c r="C219" t="inlineStr">
        <is>
          <t>Metrics Tracking SOLUCIONES</t>
        </is>
      </c>
      <c r="D219" t="inlineStr">
        <is>
          <t>notebook</t>
        </is>
      </c>
      <c r="E219" t="inlineStr">
        <is>
          <t>08-vision-xai/03-practicas/83_metrics_tracking_SOLUCIONES.ipynb</t>
        </is>
      </c>
      <c r="F219" t="inlineStr">
        <is>
          <t>Revisar</t>
        </is>
      </c>
      <c r="G219"/>
      <c r="H219" t="inlineStr">
        <is>
          <t>Pendiente</t>
        </is>
      </c>
      <c r="I219"/>
      <c r="J219"/>
      <c r="K219"/>
      <c r="L219"/>
      <c r="M219">
        <f>IF(AND(ISNUMBER(K219),ISNUMBER(L219)),MAX(K219-L219,0),"")</f>
      </c>
      <c r="N219"/>
      <c r="O219"/>
      <c r="P219"/>
    </row>
    <row r="220">
      <c r="A220" t="inlineStr">
        <is>
          <t>08</t>
        </is>
      </c>
      <c r="B220" t="inlineStr">
        <is>
          <t>08-vision-xai</t>
        </is>
      </c>
      <c r="C220" t="inlineStr">
        <is>
          <t>Metrics Tracking SOLUCIONES TESTS</t>
        </is>
      </c>
      <c r="D220" t="inlineStr">
        <is>
          <t>notebook</t>
        </is>
      </c>
      <c r="E220" t="inlineStr">
        <is>
          <t>08-vision-xai/03-practicas/83_metrics_tracking_SOLUCIONES_TESTS.ipynb</t>
        </is>
      </c>
      <c r="F220" t="inlineStr">
        <is>
          <t>Revisar</t>
        </is>
      </c>
      <c r="G220"/>
      <c r="H220" t="inlineStr">
        <is>
          <t>Pendiente</t>
        </is>
      </c>
      <c r="I220"/>
      <c r="J220"/>
      <c r="K220"/>
      <c r="L220"/>
      <c r="M220">
        <f>IF(AND(ISNUMBER(K220),ISNUMBER(L220)),MAX(K220-L220,0),"")</f>
      </c>
      <c r="N220"/>
      <c r="O220"/>
      <c r="P220"/>
    </row>
    <row r="221">
      <c r="A221" t="inlineStr">
        <is>
          <t>08</t>
        </is>
      </c>
      <c r="B221" t="inlineStr">
        <is>
          <t>08-vision-xai</t>
        </is>
      </c>
      <c r="C221" t="inlineStr">
        <is>
          <t>Lime Text</t>
        </is>
      </c>
      <c r="D221" t="inlineStr">
        <is>
          <t>notebook</t>
        </is>
      </c>
      <c r="E221" t="inlineStr">
        <is>
          <t>08-vision-xai/03-practicas/84_lime_text.ipynb</t>
        </is>
      </c>
      <c r="F221" t="inlineStr">
        <is>
          <t>Revisar</t>
        </is>
      </c>
      <c r="G221"/>
      <c r="H221" t="inlineStr">
        <is>
          <t>Pendiente</t>
        </is>
      </c>
      <c r="I221"/>
      <c r="J221"/>
      <c r="K221"/>
      <c r="L221"/>
      <c r="M221">
        <f>IF(AND(ISNUMBER(K221),ISNUMBER(L221)),MAX(K221-L221,0),"")</f>
      </c>
      <c r="N221"/>
      <c r="O221"/>
      <c r="P221"/>
    </row>
    <row r="222">
      <c r="A222" t="inlineStr">
        <is>
          <t>08</t>
        </is>
      </c>
      <c r="B222" t="inlineStr">
        <is>
          <t>08-vision-xai</t>
        </is>
      </c>
      <c r="C222" t="inlineStr">
        <is>
          <t>Lime Text SOLUCIONES</t>
        </is>
      </c>
      <c r="D222" t="inlineStr">
        <is>
          <t>notebook</t>
        </is>
      </c>
      <c r="E222" t="inlineStr">
        <is>
          <t>08-vision-xai/03-practicas/84_lime_text_SOLUCIONES.ipynb</t>
        </is>
      </c>
      <c r="F222" t="inlineStr">
        <is>
          <t>Revisar</t>
        </is>
      </c>
      <c r="G222"/>
      <c r="H222" t="inlineStr">
        <is>
          <t>Pendiente</t>
        </is>
      </c>
      <c r="I222"/>
      <c r="J222"/>
      <c r="K222"/>
      <c r="L222"/>
      <c r="M222">
        <f>IF(AND(ISNUMBER(K222),ISNUMBER(L222)),MAX(K222-L222,0),"")</f>
      </c>
      <c r="N222"/>
      <c r="O222"/>
      <c r="P222"/>
    </row>
    <row r="223">
      <c r="A223" t="inlineStr">
        <is>
          <t>08</t>
        </is>
      </c>
      <c r="B223" t="inlineStr">
        <is>
          <t>08-vision-xai</t>
        </is>
      </c>
      <c r="C223" t="inlineStr">
        <is>
          <t>Lime Text SOLUCIONES TESTS</t>
        </is>
      </c>
      <c r="D223" t="inlineStr">
        <is>
          <t>notebook</t>
        </is>
      </c>
      <c r="E223" t="inlineStr">
        <is>
          <t>08-vision-xai/03-practicas/84_lime_text_SOLUCIONES_TESTS.ipynb</t>
        </is>
      </c>
      <c r="F223" t="inlineStr">
        <is>
          <t>Revisar</t>
        </is>
      </c>
      <c r="G223"/>
      <c r="H223" t="inlineStr">
        <is>
          <t>Pendiente</t>
        </is>
      </c>
      <c r="I223"/>
      <c r="J223"/>
      <c r="K223"/>
      <c r="L223"/>
      <c r="M223">
        <f>IF(AND(ISNUMBER(K223),ISNUMBER(L223)),MAX(K223-L223,0),"")</f>
      </c>
      <c r="N223"/>
      <c r="O223"/>
      <c r="P223"/>
    </row>
    <row r="224">
      <c r="A224" t="inlineStr">
        <is>
          <t>08</t>
        </is>
      </c>
      <c r="B224" t="inlineStr">
        <is>
          <t>08-vision-xai</t>
        </is>
      </c>
      <c r="C224" t="inlineStr">
        <is>
          <t>Shap Tabular</t>
        </is>
      </c>
      <c r="D224" t="inlineStr">
        <is>
          <t>notebook</t>
        </is>
      </c>
      <c r="E224" t="inlineStr">
        <is>
          <t>08-vision-xai/03-practicas/85_shap_tabular.ipynb</t>
        </is>
      </c>
      <c r="F224" t="inlineStr">
        <is>
          <t>Revisar</t>
        </is>
      </c>
      <c r="G224"/>
      <c r="H224" t="inlineStr">
        <is>
          <t>Pendiente</t>
        </is>
      </c>
      <c r="I224"/>
      <c r="J224"/>
      <c r="K224"/>
      <c r="L224"/>
      <c r="M224">
        <f>IF(AND(ISNUMBER(K224),ISNUMBER(L224)),MAX(K224-L224,0),"")</f>
      </c>
      <c r="N224"/>
      <c r="O224"/>
      <c r="P224"/>
    </row>
    <row r="225">
      <c r="A225" t="inlineStr">
        <is>
          <t>08</t>
        </is>
      </c>
      <c r="B225" t="inlineStr">
        <is>
          <t>08-vision-xai</t>
        </is>
      </c>
      <c r="C225" t="inlineStr">
        <is>
          <t>Shap Tabular SOLUCIONES</t>
        </is>
      </c>
      <c r="D225" t="inlineStr">
        <is>
          <t>notebook</t>
        </is>
      </c>
      <c r="E225" t="inlineStr">
        <is>
          <t>08-vision-xai/03-practicas/85_shap_tabular_SOLUCIONES.ipynb</t>
        </is>
      </c>
      <c r="F225" t="inlineStr">
        <is>
          <t>Revisar</t>
        </is>
      </c>
      <c r="G225"/>
      <c r="H225" t="inlineStr">
        <is>
          <t>Pendiente</t>
        </is>
      </c>
      <c r="I225"/>
      <c r="J225"/>
      <c r="K225"/>
      <c r="L225"/>
      <c r="M225">
        <f>IF(AND(ISNUMBER(K225),ISNUMBER(L225)),MAX(K225-L225,0),"")</f>
      </c>
      <c r="N225"/>
      <c r="O225"/>
      <c r="P225"/>
    </row>
    <row r="226">
      <c r="A226" t="inlineStr">
        <is>
          <t>08</t>
        </is>
      </c>
      <c r="B226" t="inlineStr">
        <is>
          <t>08-vision-xai</t>
        </is>
      </c>
      <c r="C226" t="inlineStr">
        <is>
          <t>Shap Tabular SOLUCIONES TESTS</t>
        </is>
      </c>
      <c r="D226" t="inlineStr">
        <is>
          <t>notebook</t>
        </is>
      </c>
      <c r="E226" t="inlineStr">
        <is>
          <t>08-vision-xai/03-practicas/85_shap_tabular_SOLUCIONES_TESTS.ipynb</t>
        </is>
      </c>
      <c r="F226" t="inlineStr">
        <is>
          <t>Revisar</t>
        </is>
      </c>
      <c r="G226"/>
      <c r="H226" t="inlineStr">
        <is>
          <t>Pendiente</t>
        </is>
      </c>
      <c r="I226"/>
      <c r="J226"/>
      <c r="K226"/>
      <c r="L226"/>
      <c r="M226">
        <f>IF(AND(ISNUMBER(K226),ISNUMBER(L226)),MAX(K226-L226,0),"")</f>
      </c>
      <c r="N226"/>
      <c r="O226"/>
      <c r="P226"/>
    </row>
    <row r="227">
      <c r="A227" t="inlineStr">
        <is>
          <t>08</t>
        </is>
      </c>
      <c r="B227" t="inlineStr">
        <is>
          <t>08-vision-xai</t>
        </is>
      </c>
      <c r="C227" t="inlineStr">
        <is>
          <t>Gradcam Cnn</t>
        </is>
      </c>
      <c r="D227" t="inlineStr">
        <is>
          <t>notebook</t>
        </is>
      </c>
      <c r="E227" t="inlineStr">
        <is>
          <t>08-vision-xai/03-practicas/86_gradcam_cnn.ipynb</t>
        </is>
      </c>
      <c r="F227" t="inlineStr">
        <is>
          <t>Revisar</t>
        </is>
      </c>
      <c r="G227"/>
      <c r="H227" t="inlineStr">
        <is>
          <t>Pendiente</t>
        </is>
      </c>
      <c r="I227"/>
      <c r="J227"/>
      <c r="K227"/>
      <c r="L227"/>
      <c r="M227">
        <f>IF(AND(ISNUMBER(K227),ISNUMBER(L227)),MAX(K227-L227,0),"")</f>
      </c>
      <c r="N227"/>
      <c r="O227"/>
      <c r="P227"/>
    </row>
    <row r="228">
      <c r="A228" t="inlineStr">
        <is>
          <t>08</t>
        </is>
      </c>
      <c r="B228" t="inlineStr">
        <is>
          <t>08-vision-xai</t>
        </is>
      </c>
      <c r="C228" t="inlineStr">
        <is>
          <t>Gradcam Cnn SOLUCIONES</t>
        </is>
      </c>
      <c r="D228" t="inlineStr">
        <is>
          <t>notebook</t>
        </is>
      </c>
      <c r="E228" t="inlineStr">
        <is>
          <t>08-vision-xai/03-practicas/86_gradcam_cnn_SOLUCIONES.ipynb</t>
        </is>
      </c>
      <c r="F228" t="inlineStr">
        <is>
          <t>Revisar</t>
        </is>
      </c>
      <c r="G228"/>
      <c r="H228" t="inlineStr">
        <is>
          <t>Pendiente</t>
        </is>
      </c>
      <c r="I228"/>
      <c r="J228"/>
      <c r="K228"/>
      <c r="L228"/>
      <c r="M228">
        <f>IF(AND(ISNUMBER(K228),ISNUMBER(L228)),MAX(K228-L228,0),"")</f>
      </c>
      <c r="N228"/>
      <c r="O228"/>
      <c r="P228"/>
    </row>
    <row r="229">
      <c r="A229" t="inlineStr">
        <is>
          <t>08</t>
        </is>
      </c>
      <c r="B229" t="inlineStr">
        <is>
          <t>08-vision-xai</t>
        </is>
      </c>
      <c r="C229" t="inlineStr">
        <is>
          <t>Gradcam Cnn SOLUCIONES TESTS</t>
        </is>
      </c>
      <c r="D229" t="inlineStr">
        <is>
          <t>notebook</t>
        </is>
      </c>
      <c r="E229" t="inlineStr">
        <is>
          <t>08-vision-xai/03-practicas/86_gradcam_cnn_SOLUCIONES_TESTS.ipynb</t>
        </is>
      </c>
      <c r="F229" t="inlineStr">
        <is>
          <t>Revisar</t>
        </is>
      </c>
      <c r="G229"/>
      <c r="H229" t="inlineStr">
        <is>
          <t>Pendiente</t>
        </is>
      </c>
      <c r="I229"/>
      <c r="J229"/>
      <c r="K229"/>
      <c r="L229"/>
      <c r="M229">
        <f>IF(AND(ISNUMBER(K229),ISNUMBER(L229)),MAX(K229-L229,0),"")</f>
      </c>
      <c r="N229"/>
      <c r="O229"/>
      <c r="P229"/>
    </row>
    <row r="230">
      <c r="A230" t="inlineStr">
        <is>
          <t>08</t>
        </is>
      </c>
      <c r="B230" t="inlineStr">
        <is>
          <t>08-vision-xai</t>
        </is>
      </c>
      <c r="C230" t="inlineStr">
        <is>
          <t>CNN visionV2</t>
        </is>
      </c>
      <c r="D230" t="inlineStr">
        <is>
          <t>notebook</t>
        </is>
      </c>
      <c r="E230" t="inlineStr">
        <is>
          <t>08-vision-xai/03-practicas/modelado-notebooks-vision-ud4/CNN_visionV2.ipynb</t>
        </is>
      </c>
      <c r="F230" t="inlineStr">
        <is>
          <t>Revisar</t>
        </is>
      </c>
      <c r="G230"/>
      <c r="H230" t="inlineStr">
        <is>
          <t>Pendiente</t>
        </is>
      </c>
      <c r="I230"/>
      <c r="J230"/>
      <c r="K230"/>
      <c r="L230"/>
      <c r="M230">
        <f>IF(AND(ISNUMBER(K230),ISNUMBER(L230)),MAX(K230-L230,0),"")</f>
      </c>
      <c r="N230"/>
      <c r="O230"/>
      <c r="P230"/>
    </row>
    <row r="231">
      <c r="A231" t="inlineStr">
        <is>
          <t>08</t>
        </is>
      </c>
      <c r="B231" t="inlineStr">
        <is>
          <t>08-vision-xai</t>
        </is>
      </c>
      <c r="C231" t="inlineStr">
        <is>
          <t>Clasificacion Tumores ResNet18</t>
        </is>
      </c>
      <c r="D231" t="inlineStr">
        <is>
          <t>notebook</t>
        </is>
      </c>
      <c r="E231" t="inlineStr">
        <is>
          <t>08-vision-xai/03-practicas/modelado-notebooks-vision-ud4/Clasificacion_Tumores_ResNet18.ipynb</t>
        </is>
      </c>
      <c r="F231" t="inlineStr">
        <is>
          <t>Revisar</t>
        </is>
      </c>
      <c r="G231"/>
      <c r="H231" t="inlineStr">
        <is>
          <t>Pendiente</t>
        </is>
      </c>
      <c r="I231"/>
      <c r="J231"/>
      <c r="K231"/>
      <c r="L231"/>
      <c r="M231">
        <f>IF(AND(ISNUMBER(K231),ISNUMBER(L231)),MAX(K231-L231,0),"")</f>
      </c>
      <c r="N231"/>
      <c r="O231"/>
      <c r="P231"/>
    </row>
    <row r="232">
      <c r="A232" t="inlineStr">
        <is>
          <t>08</t>
        </is>
      </c>
      <c r="B232" t="inlineStr">
        <is>
          <t>08-vision-xai</t>
        </is>
      </c>
      <c r="C232" t="inlineStr">
        <is>
          <t>Deteccion Objetos FasterRCNN</t>
        </is>
      </c>
      <c r="D232" t="inlineStr">
        <is>
          <t>notebook</t>
        </is>
      </c>
      <c r="E232" t="inlineStr">
        <is>
          <t>08-vision-xai/03-practicas/modelado-notebooks-vision-ud4/Deteccion_Objetos_FasterRCNN.ipynb</t>
        </is>
      </c>
      <c r="F232" t="inlineStr">
        <is>
          <t>Revisar</t>
        </is>
      </c>
      <c r="G232"/>
      <c r="H232" t="inlineStr">
        <is>
          <t>Pendiente</t>
        </is>
      </c>
      <c r="I232"/>
      <c r="J232"/>
      <c r="K232"/>
      <c r="L232"/>
      <c r="M232">
        <f>IF(AND(ISNUMBER(K232),ISNUMBER(L232)),MAX(K232-L232,0),"")</f>
      </c>
      <c r="N232"/>
      <c r="O232"/>
      <c r="P232"/>
    </row>
    <row r="233">
      <c r="A233" t="inlineStr">
        <is>
          <t>08</t>
        </is>
      </c>
      <c r="B233" t="inlineStr">
        <is>
          <t>08-vision-xai</t>
        </is>
      </c>
      <c r="C233" t="inlineStr">
        <is>
          <t>Deteccion Objetos FasterRCNN Lote</t>
        </is>
      </c>
      <c r="D233" t="inlineStr">
        <is>
          <t>notebook</t>
        </is>
      </c>
      <c r="E233" t="inlineStr">
        <is>
          <t>08-vision-xai/03-practicas/modelado-notebooks-vision-ud4/Deteccion_Objetos_FasterRCNN_Lote.ipynb</t>
        </is>
      </c>
      <c r="F233" t="inlineStr">
        <is>
          <t>Revisar</t>
        </is>
      </c>
      <c r="G233"/>
      <c r="H233" t="inlineStr">
        <is>
          <t>Pendiente</t>
        </is>
      </c>
      <c r="I233"/>
      <c r="J233"/>
      <c r="K233"/>
      <c r="L233"/>
      <c r="M233">
        <f>IF(AND(ISNUMBER(K233),ISNUMBER(L233)),MAX(K233-L233,0),"")</f>
      </c>
      <c r="N233"/>
      <c r="O233"/>
      <c r="P233"/>
    </row>
    <row r="234">
      <c r="A234" t="inlineStr">
        <is>
          <t>08</t>
        </is>
      </c>
      <c r="B234" t="inlineStr">
        <is>
          <t>08-vision-xai</t>
        </is>
      </c>
      <c r="C234" t="inlineStr">
        <is>
          <t>Tf Df Imgs</t>
        </is>
      </c>
      <c r="D234" t="inlineStr">
        <is>
          <t>notebook</t>
        </is>
      </c>
      <c r="E234" t="inlineStr">
        <is>
          <t>08-vision-xai/03-practicas/modelado-notebooks-vision-ud4/tf_df_imgs.ipynb</t>
        </is>
      </c>
      <c r="F234" t="inlineStr">
        <is>
          <t>Revisar</t>
        </is>
      </c>
      <c r="G234"/>
      <c r="H234" t="inlineStr">
        <is>
          <t>Pendiente</t>
        </is>
      </c>
      <c r="I234"/>
      <c r="J234"/>
      <c r="K234"/>
      <c r="L234"/>
      <c r="M234">
        <f>IF(AND(ISNUMBER(K234),ISNUMBER(L234)),MAX(K234-L234,0),"")</f>
      </c>
      <c r="N234"/>
      <c r="O234"/>
      <c r="P234"/>
    </row>
    <row r="235">
      <c r="A235" t="inlineStr">
        <is>
          <t>08</t>
        </is>
      </c>
      <c r="B235" t="inlineStr">
        <is>
          <t>08-vision-xai</t>
        </is>
      </c>
      <c r="C235" t="inlineStr">
        <is>
          <t>layersReuse</t>
        </is>
      </c>
      <c r="D235" t="inlineStr">
        <is>
          <t>notebook</t>
        </is>
      </c>
      <c r="E235" t="inlineStr">
        <is>
          <t>08-vision-xai/03-practicas/modelado-notebooks-vision-ud4/transfer-learning/layersReuse.ipynb</t>
        </is>
      </c>
      <c r="F235" t="inlineStr">
        <is>
          <t>Revisar</t>
        </is>
      </c>
      <c r="G235"/>
      <c r="H235" t="inlineStr">
        <is>
          <t>Pendiente</t>
        </is>
      </c>
      <c r="I235"/>
      <c r="J235"/>
      <c r="K235"/>
      <c r="L235"/>
      <c r="M235">
        <f>IF(AND(ISNUMBER(K235),ISNUMBER(L235)),MAX(K235-L235,0),"")</f>
      </c>
      <c r="N235"/>
      <c r="O235"/>
      <c r="P235"/>
    </row>
    <row r="236">
      <c r="A236" t="inlineStr">
        <is>
          <t>08</t>
        </is>
      </c>
      <c r="B236" t="inlineStr">
        <is>
          <t>08-vision-xai</t>
        </is>
      </c>
      <c r="C236" t="inlineStr">
        <is>
          <t>CompeticiionVision DeepL</t>
        </is>
      </c>
      <c r="D236" t="inlineStr">
        <is>
          <t>guía/rúbrica</t>
        </is>
      </c>
      <c r="E236" t="inlineStr">
        <is>
          <t>08-vision-xai/03-practicas/vision-tareas-ud4/CompeticiionVision-DeepL.md</t>
        </is>
      </c>
      <c r="F236" t="inlineStr">
        <is>
          <t>Revisar</t>
        </is>
      </c>
      <c r="G236"/>
      <c r="H236" t="inlineStr">
        <is>
          <t>Pendiente</t>
        </is>
      </c>
      <c r="I236"/>
      <c r="J236"/>
      <c r="K236"/>
      <c r="L236"/>
      <c r="M236">
        <f>IF(AND(ISNUMBER(K236),ISNUMBER(L236)),MAX(K236-L236,0),"")</f>
      </c>
      <c r="N236"/>
      <c r="O236"/>
      <c r="P236"/>
    </row>
    <row r="237">
      <c r="A237" t="inlineStr">
        <is>
          <t>08</t>
        </is>
      </c>
      <c r="B237" t="inlineStr">
        <is>
          <t>08-vision-xai</t>
        </is>
      </c>
      <c r="C237" t="inlineStr">
        <is>
          <t>Entrega 1 — Mini-tareas de Visión por Computador</t>
        </is>
      </c>
      <c r="D237" t="inlineStr">
        <is>
          <t>guía/rúbrica</t>
        </is>
      </c>
      <c r="E237" t="inlineStr">
        <is>
          <t>08-vision-xai/03-practicas/vision-tareas-ud4/Vision_ordenador_entrega_Clase1.md</t>
        </is>
      </c>
      <c r="F237" t="inlineStr">
        <is>
          <t>Revisar</t>
        </is>
      </c>
      <c r="G237"/>
      <c r="H237" t="inlineStr">
        <is>
          <t>Pendiente</t>
        </is>
      </c>
      <c r="I237"/>
      <c r="J237"/>
      <c r="K237"/>
      <c r="L237"/>
      <c r="M237">
        <f>IF(AND(ISNUMBER(K237),ISNUMBER(L237)),MAX(K237-L237,0),"")</f>
      </c>
      <c r="N237"/>
      <c r="O237"/>
      <c r="P237"/>
    </row>
    <row r="238">
      <c r="A238" t="inlineStr">
        <is>
          <t>08</t>
        </is>
      </c>
      <c r="B238" t="inlineStr">
        <is>
          <t>08-vision-xai</t>
        </is>
      </c>
      <c r="C238" t="inlineStr">
        <is>
          <t>Challenge MuffinVS Chihuahua</t>
        </is>
      </c>
      <c r="D238" t="inlineStr">
        <is>
          <t>guía/rúbrica</t>
        </is>
      </c>
      <c r="E238" t="inlineStr">
        <is>
          <t>08-vision-xai/03-practicas/vision-tareas-ud4/chihuahua_vs_muffin_challenge_pack/Challenge_MuffinVS_Chihuahua.md</t>
        </is>
      </c>
      <c r="F238" t="inlineStr">
        <is>
          <t>Revisar</t>
        </is>
      </c>
      <c r="G238"/>
      <c r="H238" t="inlineStr">
        <is>
          <t>Pendiente</t>
        </is>
      </c>
      <c r="I238"/>
      <c r="J238"/>
      <c r="K238"/>
      <c r="L238"/>
      <c r="M238">
        <f>IF(AND(ISNUMBER(K238),ISNUMBER(L238)),MAX(K238-L238,0),"")</f>
      </c>
      <c r="N238"/>
      <c r="O238"/>
      <c r="P238"/>
    </row>
    <row r="239">
      <c r="A239" t="inlineStr">
        <is>
          <t>08</t>
        </is>
      </c>
      <c r="B239" t="inlineStr">
        <is>
          <t>08-vision-xai</t>
        </is>
      </c>
      <c r="C239" t="inlineStr">
        <is>
          <t>Documento de Entrega — Vision Challenge</t>
        </is>
      </c>
      <c r="D239" t="inlineStr">
        <is>
          <t>guía/rúbrica</t>
        </is>
      </c>
      <c r="E239" t="inlineStr">
        <is>
          <t>08-vision-xai/03-practicas/vision-tareas-ud4/chihuahua_vs_muffin_challenge_pack/Muffin_vs_Chihuahua_Entrega.md</t>
        </is>
      </c>
      <c r="F239" t="inlineStr">
        <is>
          <t>Revisar</t>
        </is>
      </c>
      <c r="G239"/>
      <c r="H239" t="inlineStr">
        <is>
          <t>Pendiente</t>
        </is>
      </c>
      <c r="I239"/>
      <c r="J239"/>
      <c r="K239"/>
      <c r="L239"/>
      <c r="M239">
        <f>IF(AND(ISNUMBER(K239),ISNUMBER(L239)),MAX(K239-L239,0),"")</f>
      </c>
      <c r="N239"/>
      <c r="O239"/>
      <c r="P239"/>
    </row>
    <row r="240">
      <c r="A240" t="inlineStr">
        <is>
          <t>08</t>
        </is>
      </c>
      <c r="B240" t="inlineStr">
        <is>
          <t>08-vision-xai</t>
        </is>
      </c>
      <c r="C240" t="inlineStr">
        <is>
          <t>IA Vision Challenge 1 — Chihuahua vs Muffin</t>
        </is>
      </c>
      <c r="D240" t="inlineStr">
        <is>
          <t>guía/rúbrica</t>
        </is>
      </c>
      <c r="E240" t="inlineStr">
        <is>
          <t>08-vision-xai/03-practicas/vision-tareas-ud4/chihuahua_vs_muffin_challenge_pack/enunciado_chihuahua_vs_muffin.md</t>
        </is>
      </c>
      <c r="F240" t="inlineStr">
        <is>
          <t>Revisar</t>
        </is>
      </c>
      <c r="G240"/>
      <c r="H240" t="inlineStr">
        <is>
          <t>Pendiente</t>
        </is>
      </c>
      <c r="I240"/>
      <c r="J240"/>
      <c r="K240"/>
      <c r="L240"/>
      <c r="M240">
        <f>IF(AND(ISNUMBER(K240),ISNUMBER(L240)),MAX(K240-L240,0),"")</f>
      </c>
      <c r="N240"/>
      <c r="O240"/>
      <c r="P240"/>
    </row>
    <row r="241">
      <c r="A241" t="inlineStr">
        <is>
          <t>08</t>
        </is>
      </c>
      <c r="B241" t="inlineStr">
        <is>
          <t>08-vision-xai</t>
        </is>
      </c>
      <c r="C241" t="inlineStr">
        <is>
          <t>Leaderboard</t>
        </is>
      </c>
      <c r="D241" t="inlineStr">
        <is>
          <t>script</t>
        </is>
      </c>
      <c r="E241" t="inlineStr">
        <is>
          <t>08-vision-xai/03-practicas/vision-tareas-ud4/chihuahua_vs_muffin_challenge_pack/leaderboard.py</t>
        </is>
      </c>
      <c r="F241" t="inlineStr">
        <is>
          <t>Revisar</t>
        </is>
      </c>
      <c r="G241"/>
      <c r="H241" t="inlineStr">
        <is>
          <t>Pendiente</t>
        </is>
      </c>
      <c r="I241"/>
      <c r="J241"/>
      <c r="K241"/>
      <c r="L241"/>
      <c r="M241">
        <f>IF(AND(ISNUMBER(K241),ISNUMBER(L241)),MAX(K241-L241,0),"")</f>
      </c>
      <c r="N241"/>
      <c r="O241"/>
      <c r="P241"/>
    </row>
    <row r="242">
      <c r="A242" t="inlineStr">
        <is>
          <t>08</t>
        </is>
      </c>
      <c r="B242" t="inlineStr">
        <is>
          <t>08-vision-xai</t>
        </is>
      </c>
      <c r="C242" t="inlineStr">
        <is>
          <t>Tres niveles de dificultad para el challenge</t>
        </is>
      </c>
      <c r="D242" t="inlineStr">
        <is>
          <t>guía/rúbrica</t>
        </is>
      </c>
      <c r="E242" t="inlineStr">
        <is>
          <t>08-vision-xai/03-practicas/vision-tareas-ud4/chihuahua_vs_muffin_challenge_pack/niveles_dificultad.md</t>
        </is>
      </c>
      <c r="F242" t="inlineStr">
        <is>
          <t>Revisar</t>
        </is>
      </c>
      <c r="G242"/>
      <c r="H242" t="inlineStr">
        <is>
          <t>Pendiente</t>
        </is>
      </c>
      <c r="I242"/>
      <c r="J242"/>
      <c r="K242"/>
      <c r="L242"/>
      <c r="M242">
        <f>IF(AND(ISNUMBER(K242),ISNUMBER(L242)),MAX(K242-L242,0),"")</f>
      </c>
      <c r="N242"/>
      <c r="O242"/>
      <c r="P242"/>
    </row>
    <row r="243">
      <c r="A243" t="inlineStr">
        <is>
          <t>08</t>
        </is>
      </c>
      <c r="B243" t="inlineStr">
        <is>
          <t>08-vision-xai</t>
        </is>
      </c>
      <c r="C243" t="inlineStr">
        <is>
          <t>Notebook Base Chihuahua Vs Muffin</t>
        </is>
      </c>
      <c r="D243" t="inlineStr">
        <is>
          <t>notebook</t>
        </is>
      </c>
      <c r="E243" t="inlineStr">
        <is>
          <t>08-vision-xai/03-practicas/vision-tareas-ud4/chihuahua_vs_muffin_challenge_pack/notebook_base_chihuahua_vs_muffin.ipynb</t>
        </is>
      </c>
      <c r="F243" t="inlineStr">
        <is>
          <t>Revisar</t>
        </is>
      </c>
      <c r="G243"/>
      <c r="H243" t="inlineStr">
        <is>
          <t>Pendiente</t>
        </is>
      </c>
      <c r="I243"/>
      <c r="J243"/>
      <c r="K243"/>
      <c r="L243"/>
      <c r="M243">
        <f>IF(AND(ISNUMBER(K243),ISNUMBER(L243)),MAX(K243-L243,0),"")</f>
      </c>
      <c r="N243"/>
      <c r="O243"/>
      <c r="P243"/>
    </row>
    <row r="244">
      <c r="A244" t="inlineStr">
        <is>
          <t>08</t>
        </is>
      </c>
      <c r="B244" t="inlineStr">
        <is>
          <t>08-vision-xai</t>
        </is>
      </c>
      <c r="C244" t="inlineStr">
        <is>
          <t>Propuesta de duración del challenge</t>
        </is>
      </c>
      <c r="D244" t="inlineStr">
        <is>
          <t>guía/rúbrica</t>
        </is>
      </c>
      <c r="E244" t="inlineStr">
        <is>
          <t>08-vision-xai/03-practicas/vision-tareas-ud4/chihuahua_vs_muffin_challenge_pack/propuesta_duracion.md</t>
        </is>
      </c>
      <c r="F244" t="inlineStr">
        <is>
          <t>Revisar</t>
        </is>
      </c>
      <c r="G244"/>
      <c r="H244" t="inlineStr">
        <is>
          <t>Pendiente</t>
        </is>
      </c>
      <c r="I244"/>
      <c r="J244"/>
      <c r="K244"/>
      <c r="L244"/>
      <c r="M244">
        <f>IF(AND(ISNUMBER(K244),ISNUMBER(L244)),MAX(K244-L244,0),"")</f>
      </c>
      <c r="N244"/>
      <c r="O244"/>
      <c r="P244"/>
    </row>
    <row r="245">
      <c r="A245" t="inlineStr">
        <is>
          <t>08</t>
        </is>
      </c>
      <c r="B245" t="inlineStr">
        <is>
          <t>08-vision-xai</t>
        </is>
      </c>
      <c r="C245" t="inlineStr">
        <is>
          <t>Rúbrica — IA Vision Challenge</t>
        </is>
      </c>
      <c r="D245" t="inlineStr">
        <is>
          <t>guía/rúbrica</t>
        </is>
      </c>
      <c r="E245" t="inlineStr">
        <is>
          <t>08-vision-xai/03-practicas/vision-tareas-ud4/chihuahua_vs_muffin_challenge_pack/rubrica_chihuahua_vs_muffin.md</t>
        </is>
      </c>
      <c r="F245" t="inlineStr">
        <is>
          <t>Revisar</t>
        </is>
      </c>
      <c r="G245"/>
      <c r="H245" t="inlineStr">
        <is>
          <t>Pendiente</t>
        </is>
      </c>
      <c r="I245"/>
      <c r="J245"/>
      <c r="K245"/>
      <c r="L245"/>
      <c r="M245">
        <f>IF(AND(ISNUMBER(K245),ISNUMBER(L245)),MAX(K245-L245,0),"")</f>
      </c>
      <c r="N245"/>
      <c r="O245"/>
      <c r="P245"/>
    </row>
    <row r="246">
      <c r="A246" t="inlineStr">
        <is>
          <t>08</t>
        </is>
      </c>
      <c r="B246" t="inlineStr">
        <is>
          <t>08-vision-xai</t>
        </is>
      </c>
      <c r="C246" t="inlineStr">
        <is>
          <t>Trucos de diseño para que el challenge funcione bien</t>
        </is>
      </c>
      <c r="D246" t="inlineStr">
        <is>
          <t>guía/rúbrica</t>
        </is>
      </c>
      <c r="E246" t="inlineStr">
        <is>
          <t>08-vision-xai/03-practicas/vision-tareas-ud4/chihuahua_vs_muffin_challenge_pack/trucos_docencia_challenge.md</t>
        </is>
      </c>
      <c r="F246" t="inlineStr">
        <is>
          <t>Revisar</t>
        </is>
      </c>
      <c r="G246"/>
      <c r="H246" t="inlineStr">
        <is>
          <t>Pendiente</t>
        </is>
      </c>
      <c r="I246"/>
      <c r="J246"/>
      <c r="K246"/>
      <c r="L246"/>
      <c r="M246">
        <f>IF(AND(ISNUMBER(K246),ISNUMBER(L246)),MAX(K246-L246,0),"")</f>
      </c>
      <c r="N246"/>
      <c r="O246"/>
      <c r="P246"/>
    </row>
    <row r="247">
      <c r="A247" t="inlineStr">
        <is>
          <t>08</t>
        </is>
      </c>
      <c r="B247" t="inlineStr">
        <is>
          <t>08-vision-xai</t>
        </is>
      </c>
      <c r="C247" t="inlineStr">
        <is>
          <t>Entrega de la práctica</t>
        </is>
      </c>
      <c r="D247" t="inlineStr">
        <is>
          <t>guía/rúbrica</t>
        </is>
      </c>
      <c r="E247" t="inlineStr">
        <is>
          <t>08-vision-xai/03-practicas/vision-tareas-ud4/fase2_transfer_learning_pack/entrega.md</t>
        </is>
      </c>
      <c r="F247" t="inlineStr">
        <is>
          <t>Revisar</t>
        </is>
      </c>
      <c r="G247"/>
      <c r="H247" t="inlineStr">
        <is>
          <t>Pendiente</t>
        </is>
      </c>
      <c r="I247"/>
      <c r="J247"/>
      <c r="K247"/>
      <c r="L247"/>
      <c r="M247">
        <f>IF(AND(ISNUMBER(K247),ISNUMBER(L247)),MAX(K247-L247,0),"")</f>
      </c>
      <c r="N247"/>
      <c r="O247"/>
      <c r="P247"/>
    </row>
    <row r="248">
      <c r="A248" t="inlineStr">
        <is>
          <t>08</t>
        </is>
      </c>
      <c r="B248" t="inlineStr">
        <is>
          <t>08-vision-xai</t>
        </is>
      </c>
      <c r="C248" t="inlineStr">
        <is>
          <t>Fase 2. Transfer learning para mejorar el clasificador</t>
        </is>
      </c>
      <c r="D248" t="inlineStr">
        <is>
          <t>guía/rúbrica</t>
        </is>
      </c>
      <c r="E248" t="inlineStr">
        <is>
          <t>08-vision-xai/03-practicas/vision-tareas-ud4/fase2_transfer_learning_pack/enunciado.md</t>
        </is>
      </c>
      <c r="F248" t="inlineStr">
        <is>
          <t>Revisar</t>
        </is>
      </c>
      <c r="G248"/>
      <c r="H248" t="inlineStr">
        <is>
          <t>Pendiente</t>
        </is>
      </c>
      <c r="I248"/>
      <c r="J248"/>
      <c r="K248"/>
      <c r="L248"/>
      <c r="M248">
        <f>IF(AND(ISNUMBER(K248),ISNUMBER(L248)),MAX(K248-L248,0),"")</f>
      </c>
      <c r="N248"/>
      <c r="O248"/>
      <c r="P248"/>
    </row>
    <row r="249">
      <c r="A249" t="inlineStr">
        <is>
          <t>08</t>
        </is>
      </c>
      <c r="B249" t="inlineStr">
        <is>
          <t>08-vision-xai</t>
        </is>
      </c>
      <c r="C249" t="inlineStr">
        <is>
          <t>Notebook Alumno Transfer Learning</t>
        </is>
      </c>
      <c r="D249" t="inlineStr">
        <is>
          <t>notebook</t>
        </is>
      </c>
      <c r="E249" t="inlineStr">
        <is>
          <t>08-vision-xai/03-practicas/vision-tareas-ud4/fase2_transfer_learning_pack/notebook_alumno_transfer_learning.ipynb</t>
        </is>
      </c>
      <c r="F249" t="inlineStr">
        <is>
          <t>Revisar</t>
        </is>
      </c>
      <c r="G249"/>
      <c r="H249" t="inlineStr">
        <is>
          <t>Pendiente</t>
        </is>
      </c>
      <c r="I249"/>
      <c r="J249"/>
      <c r="K249"/>
      <c r="L249"/>
      <c r="M249">
        <f>IF(AND(ISNUMBER(K249),ISNUMBER(L249)),MAX(K249-L249,0),"")</f>
      </c>
      <c r="N249"/>
      <c r="O249"/>
      <c r="P249"/>
    </row>
    <row r="250">
      <c r="A250" t="inlineStr">
        <is>
          <t>08</t>
        </is>
      </c>
      <c r="B250" t="inlineStr">
        <is>
          <t>08-vision-xai</t>
        </is>
      </c>
      <c r="C250" t="inlineStr">
        <is>
          <t>Notebook Fase2 Transfer Learning</t>
        </is>
      </c>
      <c r="D250" t="inlineStr">
        <is>
          <t>notebook</t>
        </is>
      </c>
      <c r="E250" t="inlineStr">
        <is>
          <t>08-vision-xai/03-practicas/vision-tareas-ud4/fase2_transfer_learning_pack/notebook_fase2_transfer_learning.ipynb</t>
        </is>
      </c>
      <c r="F250" t="inlineStr">
        <is>
          <t>Revisar</t>
        </is>
      </c>
      <c r="G250"/>
      <c r="H250" t="inlineStr">
        <is>
          <t>Pendiente</t>
        </is>
      </c>
      <c r="I250"/>
      <c r="J250"/>
      <c r="K250"/>
      <c r="L250"/>
      <c r="M250">
        <f>IF(AND(ISNUMBER(K250),ISNUMBER(L250)),MAX(K250-L250,0),"")</f>
      </c>
      <c r="N250"/>
      <c r="O250"/>
      <c r="P250"/>
    </row>
    <row r="251">
      <c r="A251" t="inlineStr">
        <is>
          <t>08</t>
        </is>
      </c>
      <c r="B251" t="inlineStr">
        <is>
          <t>08-vision-xai</t>
        </is>
      </c>
      <c r="C251" t="inlineStr">
        <is>
          <t>Rúbrica de evaluación</t>
        </is>
      </c>
      <c r="D251" t="inlineStr">
        <is>
          <t>guía/rúbrica</t>
        </is>
      </c>
      <c r="E251" t="inlineStr">
        <is>
          <t>08-vision-xai/03-practicas/vision-tareas-ud4/fase2_transfer_learning_pack/rubrica.md</t>
        </is>
      </c>
      <c r="F251" t="inlineStr">
        <is>
          <t>Revisar</t>
        </is>
      </c>
      <c r="G251"/>
      <c r="H251" t="inlineStr">
        <is>
          <t>Pendiente</t>
        </is>
      </c>
      <c r="I251"/>
      <c r="J251"/>
      <c r="K251"/>
      <c r="L251"/>
      <c r="M251">
        <f>IF(AND(ISNUMBER(K251),ISNUMBER(L251)),MAX(K251-L251,0),"")</f>
      </c>
      <c r="N251"/>
      <c r="O251"/>
      <c r="P251"/>
    </row>
    <row r="252">
      <c r="A252" t="inlineStr">
        <is>
          <t>08</t>
        </is>
      </c>
      <c r="B252" t="inlineStr">
        <is>
          <t>08-vision-xai</t>
        </is>
      </c>
      <c r="C252" t="inlineStr">
        <is>
          <t>Notebook Fase2 Transfer Learning Mejorado</t>
        </is>
      </c>
      <c r="D252" t="inlineStr">
        <is>
          <t>notebook</t>
        </is>
      </c>
      <c r="E252" t="inlineStr">
        <is>
          <t>08-vision-xai/03-practicas/vision-tareas-ud4/notebook_fase2_transfer_learning_mejorado.ipynb</t>
        </is>
      </c>
      <c r="F252" t="inlineStr">
        <is>
          <t>Revisar</t>
        </is>
      </c>
      <c r="G252"/>
      <c r="H252" t="inlineStr">
        <is>
          <t>Pendiente</t>
        </is>
      </c>
      <c r="I252"/>
      <c r="J252"/>
      <c r="K252"/>
      <c r="L252"/>
      <c r="M252">
        <f>IF(AND(ISNUMBER(K252),ISNUMBER(L252)),MAX(K252-L252,0),"")</f>
      </c>
      <c r="N252"/>
      <c r="O252"/>
      <c r="P252"/>
    </row>
    <row r="253">
      <c r="A253" t="inlineStr">
        <is>
          <t>08</t>
        </is>
      </c>
      <c r="B253" t="inlineStr">
        <is>
          <t>08-vision-xai</t>
        </is>
      </c>
      <c r="C253" t="inlineStr">
        <is>
          <t>Prepare Dataset Chihuahua Muffin</t>
        </is>
      </c>
      <c r="D253" t="inlineStr">
        <is>
          <t>script</t>
        </is>
      </c>
      <c r="E253" t="inlineStr">
        <is>
          <t>08-vision-xai/03-practicas/vision-tareas-ud4/prepare_dataset_chihuahua_muffin.py</t>
        </is>
      </c>
      <c r="F253" t="inlineStr">
        <is>
          <t>Revisar</t>
        </is>
      </c>
      <c r="G253"/>
      <c r="H253" t="inlineStr">
        <is>
          <t>Pendiente</t>
        </is>
      </c>
      <c r="I253"/>
      <c r="J253"/>
      <c r="K253"/>
      <c r="L253"/>
      <c r="M253">
        <f>IF(AND(ISNUMBER(K253),ISNUMBER(L253)),MAX(K253-L253,0),"")</f>
      </c>
      <c r="N253"/>
      <c r="O253"/>
      <c r="P253"/>
    </row>
    <row r="254">
      <c r="A254" t="inlineStr">
        <is>
          <t>08</t>
        </is>
      </c>
      <c r="B254" t="inlineStr">
        <is>
          <t>08-vision-xai</t>
        </is>
      </c>
      <c r="C254" t="inlineStr">
        <is>
          <t>Evaluación — UD8 Visión por Computadora y XAI</t>
        </is>
      </c>
      <c r="D254" t="inlineStr">
        <is>
          <t>guía/rúbrica</t>
        </is>
      </c>
      <c r="E254" t="inlineStr">
        <is>
          <t>08-vision-xai/04-evaluacion/README.md</t>
        </is>
      </c>
      <c r="F254" t="inlineStr">
        <is>
          <t>Sí</t>
        </is>
      </c>
      <c r="G254"/>
      <c r="H254" t="inlineStr">
        <is>
          <t>Pendiente</t>
        </is>
      </c>
      <c r="I254"/>
      <c r="J254"/>
      <c r="K254"/>
      <c r="L254"/>
      <c r="M254">
        <f>IF(AND(ISNUMBER(K254),ISNUMBER(L254)),MAX(K254-L254,0),"")</f>
      </c>
      <c r="N254"/>
      <c r="O254"/>
      <c r="P254"/>
    </row>
    <row r="255">
      <c r="A255" t="inlineStr">
        <is>
          <t>08</t>
        </is>
      </c>
      <c r="B255" t="inlineStr">
        <is>
          <t>08-vision-xai</t>
        </is>
      </c>
      <c r="C255" t="inlineStr">
        <is>
          <t>Checklist de entrega — UD8 Visión por Computadora y XAI</t>
        </is>
      </c>
      <c r="D255" t="inlineStr">
        <is>
          <t>guía/rúbrica</t>
        </is>
      </c>
      <c r="E255" t="inlineStr">
        <is>
          <t>08-vision-xai/04-evaluacion/checklist-entrega.md</t>
        </is>
      </c>
      <c r="F255" t="inlineStr">
        <is>
          <t>Sí</t>
        </is>
      </c>
      <c r="G255"/>
      <c r="H255" t="inlineStr">
        <is>
          <t>Pendiente</t>
        </is>
      </c>
      <c r="I255"/>
      <c r="J255"/>
      <c r="K255"/>
      <c r="L255"/>
      <c r="M255">
        <f>IF(AND(ISNUMBER(K255),ISNUMBER(L255)),MAX(K255-L255,0),"")</f>
      </c>
      <c r="N255"/>
      <c r="O255"/>
      <c r="P255"/>
    </row>
    <row r="256">
      <c r="A256" t="inlineStr">
        <is>
          <t>08</t>
        </is>
      </c>
      <c r="B256" t="inlineStr">
        <is>
          <t>08-vision-xai</t>
        </is>
      </c>
      <c r="C256" t="inlineStr">
        <is>
          <t>Cuestionario Vision Xai</t>
        </is>
      </c>
      <c r="D256" t="inlineStr">
        <is>
          <t>cuestionario</t>
        </is>
      </c>
      <c r="E256" t="inlineStr">
        <is>
          <t>08-vision-xai/04-evaluacion/cuestionario-vision-xai.gift</t>
        </is>
      </c>
      <c r="F256" t="inlineStr">
        <is>
          <t>Sí</t>
        </is>
      </c>
      <c r="G256"/>
      <c r="H256" t="inlineStr">
        <is>
          <t>Pendiente</t>
        </is>
      </c>
      <c r="I256"/>
      <c r="J256"/>
      <c r="K256"/>
      <c r="L256"/>
      <c r="M256">
        <f>IF(AND(ISNUMBER(K256),ISNUMBER(L256)),MAX(K256-L256,0),"")</f>
      </c>
      <c r="N256"/>
      <c r="O256"/>
      <c r="P256"/>
    </row>
    <row r="257">
      <c r="A257" t="inlineStr">
        <is>
          <t>08</t>
        </is>
      </c>
      <c r="B257" t="inlineStr">
        <is>
          <t>08-vision-xai</t>
        </is>
      </c>
      <c r="C257" t="inlineStr">
        <is>
          <t>Rúbrica — UD8 Visión por Computadora y XAI</t>
        </is>
      </c>
      <c r="D257" t="inlineStr">
        <is>
          <t>guía/rúbrica</t>
        </is>
      </c>
      <c r="E257" t="inlineStr">
        <is>
          <t>08-vision-xai/04-evaluacion/rubrica.md</t>
        </is>
      </c>
      <c r="F257" t="inlineStr">
        <is>
          <t>Sí</t>
        </is>
      </c>
      <c r="G257"/>
      <c r="H257" t="inlineStr">
        <is>
          <t>Pendiente</t>
        </is>
      </c>
      <c r="I257"/>
      <c r="J257"/>
      <c r="K257"/>
      <c r="L257"/>
      <c r="M257">
        <f>IF(AND(ISNUMBER(K257),ISNUMBER(L257)),MAX(K257-L257,0),"")</f>
      </c>
      <c r="N257"/>
      <c r="O257"/>
      <c r="P257"/>
    </row>
    <row r="258">
      <c r="A258" t="inlineStr">
        <is>
          <t>09</t>
        </is>
      </c>
      <c r="B258" t="inlineStr">
        <is>
          <t>UD9 — GPU Avanzado</t>
        </is>
      </c>
      <c r="C258" t="inlineStr">
        <is>
          <t>Proyecto Integrador GPU — Guía General</t>
        </is>
      </c>
      <c r="D258" t="inlineStr">
        <is>
          <t>guía/rúbrica</t>
        </is>
      </c>
      <c r="E258" t="inlineStr">
        <is>
          <t>09-gpu-avanzado/03-practicas/00-guia-proyecto-gpu.md</t>
        </is>
      </c>
      <c r="F258" t="inlineStr">
        <is>
          <t>Revisar</t>
        </is>
      </c>
      <c r="G258"/>
      <c r="H258" t="inlineStr">
        <is>
          <t>Pendiente</t>
        </is>
      </c>
      <c r="I258"/>
      <c r="J258"/>
      <c r="K258"/>
      <c r="L258"/>
      <c r="M258">
        <f>IF(AND(ISNUMBER(K258),ISNUMBER(L258)),MAX(K258-L258,0),"")</f>
      </c>
      <c r="N258"/>
      <c r="O258"/>
      <c r="P258"/>
    </row>
    <row r="259">
      <c r="A259" t="inlineStr">
        <is>
          <t>09</t>
        </is>
      </c>
      <c r="B259" t="inlineStr">
        <is>
          <t>UD9 — GPU Avanzado</t>
        </is>
      </c>
      <c r="C259" t="inlineStr">
        <is>
          <t>Project Template</t>
        </is>
      </c>
      <c r="D259" t="inlineStr">
        <is>
          <t>notebook</t>
        </is>
      </c>
      <c r="E259" t="inlineStr">
        <is>
          <t>09-gpu-avanzado/03-practicas/01_project_template.ipynb</t>
        </is>
      </c>
      <c r="F259" t="inlineStr">
        <is>
          <t>Revisar</t>
        </is>
      </c>
      <c r="G259"/>
      <c r="H259" t="inlineStr">
        <is>
          <t>Pendiente</t>
        </is>
      </c>
      <c r="I259"/>
      <c r="J259"/>
      <c r="K259"/>
      <c r="L259"/>
      <c r="M259">
        <f>IF(AND(ISNUMBER(K259),ISNUMBER(L259)),MAX(K259-L259,0),"")</f>
      </c>
      <c r="N259"/>
      <c r="O259"/>
      <c r="P259"/>
    </row>
    <row r="260">
      <c r="A260" t="inlineStr">
        <is>
          <t>09</t>
        </is>
      </c>
      <c r="B260" t="inlineStr">
        <is>
          <t>UD9 — GPU Avanzado</t>
        </is>
      </c>
      <c r="C260" t="inlineStr">
        <is>
          <t>Dashboard Template</t>
        </is>
      </c>
      <c r="D260" t="inlineStr">
        <is>
          <t>notebook</t>
        </is>
      </c>
      <c r="E260" t="inlineStr">
        <is>
          <t>09-gpu-avanzado/03-practicas/02_dashboard_template.ipynb</t>
        </is>
      </c>
      <c r="F260" t="inlineStr">
        <is>
          <t>Revisar</t>
        </is>
      </c>
      <c r="G260"/>
      <c r="H260" t="inlineStr">
        <is>
          <t>Pendiente</t>
        </is>
      </c>
      <c r="I260"/>
      <c r="J260"/>
      <c r="K260"/>
      <c r="L260"/>
      <c r="M260">
        <f>IF(AND(ISNUMBER(K260),ISNUMBER(L260)),MAX(K260-L260,0),"")</f>
      </c>
      <c r="N260"/>
      <c r="O260"/>
      <c r="P260"/>
    </row>
    <row r="261">
      <c r="A261" t="inlineStr">
        <is>
          <t>09</t>
        </is>
      </c>
      <c r="B261" t="inlineStr">
        <is>
          <t>UD9 — GPU Avanzado</t>
        </is>
      </c>
      <c r="C261" t="inlineStr">
        <is>
          <t>Pipeline Template</t>
        </is>
      </c>
      <c r="D261" t="inlineStr">
        <is>
          <t>notebook</t>
        </is>
      </c>
      <c r="E261" t="inlineStr">
        <is>
          <t>09-gpu-avanzado/03-practicas/03_pipeline_template.ipynb</t>
        </is>
      </c>
      <c r="F261" t="inlineStr">
        <is>
          <t>Revisar</t>
        </is>
      </c>
      <c r="G261"/>
      <c r="H261" t="inlineStr">
        <is>
          <t>Pendiente</t>
        </is>
      </c>
      <c r="I261"/>
      <c r="J261"/>
      <c r="K261"/>
      <c r="L261"/>
      <c r="M261">
        <f>IF(AND(ISNUMBER(K261),ISNUMBER(L261)),MAX(K261-L261,0),"")</f>
      </c>
      <c r="N261"/>
      <c r="O261"/>
      <c r="P261"/>
    </row>
    <row r="262">
      <c r="A262" t="inlineStr">
        <is>
          <t>09</t>
        </is>
      </c>
      <c r="B262" t="inlineStr">
        <is>
          <t>UD9 — GPU Avanzado</t>
        </is>
      </c>
      <c r="C262" t="inlineStr">
        <is>
          <t>Evaluación — UD9 GPU Avanzado</t>
        </is>
      </c>
      <c r="D262" t="inlineStr">
        <is>
          <t>guía/rúbrica</t>
        </is>
      </c>
      <c r="E262" t="inlineStr">
        <is>
          <t>09-gpu-avanzado/04-evaluacion/README.md</t>
        </is>
      </c>
      <c r="F262" t="inlineStr">
        <is>
          <t>Sí</t>
        </is>
      </c>
      <c r="G262"/>
      <c r="H262" t="inlineStr">
        <is>
          <t>Pendiente</t>
        </is>
      </c>
      <c r="I262"/>
      <c r="J262"/>
      <c r="K262"/>
      <c r="L262"/>
      <c r="M262">
        <f>IF(AND(ISNUMBER(K262),ISNUMBER(L262)),MAX(K262-L262,0),"")</f>
      </c>
      <c r="N262"/>
      <c r="O262"/>
      <c r="P262"/>
    </row>
    <row r="263">
      <c r="A263" t="inlineStr">
        <is>
          <t>09</t>
        </is>
      </c>
      <c r="B263" t="inlineStr">
        <is>
          <t>UD9 — GPU Avanzado</t>
        </is>
      </c>
      <c r="C263" t="inlineStr">
        <is>
          <t>Checklist de Entrega — UD9: GPU Avanzado</t>
        </is>
      </c>
      <c r="D263" t="inlineStr">
        <is>
          <t>guía/rúbrica</t>
        </is>
      </c>
      <c r="E263" t="inlineStr">
        <is>
          <t>09-gpu-avanzado/04-evaluacion/checklist-entrega.md</t>
        </is>
      </c>
      <c r="F263" t="inlineStr">
        <is>
          <t>Sí</t>
        </is>
      </c>
      <c r="G263"/>
      <c r="H263" t="inlineStr">
        <is>
          <t>Pendiente</t>
        </is>
      </c>
      <c r="I263"/>
      <c r="J263"/>
      <c r="K263"/>
      <c r="L263"/>
      <c r="M263">
        <f>IF(AND(ISNUMBER(K263),ISNUMBER(L263)),MAX(K263-L263,0),"")</f>
      </c>
      <c r="N263"/>
      <c r="O263"/>
      <c r="P263"/>
    </row>
    <row r="264">
      <c r="A264" t="inlineStr">
        <is>
          <t>09</t>
        </is>
      </c>
      <c r="B264" t="inlineStr">
        <is>
          <t>UD9 — GPU Avanzado</t>
        </is>
      </c>
      <c r="C264" t="inlineStr">
        <is>
          <t>Cuestionario Rapids Jax</t>
        </is>
      </c>
      <c r="D264" t="inlineStr">
        <is>
          <t>cuestionario</t>
        </is>
      </c>
      <c r="E264" t="inlineStr">
        <is>
          <t>09-gpu-avanzado/04-evaluacion/cuestionario_rapids_jax.gift</t>
        </is>
      </c>
      <c r="F264" t="inlineStr">
        <is>
          <t>Sí</t>
        </is>
      </c>
      <c r="G264"/>
      <c r="H264" t="inlineStr">
        <is>
          <t>Pendiente</t>
        </is>
      </c>
      <c r="I264"/>
      <c r="J264"/>
      <c r="K264"/>
      <c r="L264"/>
      <c r="M264">
        <f>IF(AND(ISNUMBER(K264),ISNUMBER(L264)),MAX(K264-L264,0),"")</f>
      </c>
      <c r="N264"/>
      <c r="O264"/>
      <c r="P264"/>
    </row>
    <row r="265">
      <c r="A265" t="inlineStr">
        <is>
          <t>09</t>
        </is>
      </c>
      <c r="B265" t="inlineStr">
        <is>
          <t>UD9 — GPU Avanzado</t>
        </is>
      </c>
      <c r="C265" t="inlineStr">
        <is>
          <t>Rúbrica de Evaluación — UD9: GPU Avanzado</t>
        </is>
      </c>
      <c r="D265" t="inlineStr">
        <is>
          <t>guía/rúbrica</t>
        </is>
      </c>
      <c r="E265" t="inlineStr">
        <is>
          <t>09-gpu-avanzado/04-evaluacion/rubrica.md</t>
        </is>
      </c>
      <c r="F265" t="inlineStr">
        <is>
          <t>Sí</t>
        </is>
      </c>
      <c r="G265"/>
      <c r="H265" t="inlineStr">
        <is>
          <t>Pendiente</t>
        </is>
      </c>
      <c r="I265"/>
      <c r="J265"/>
      <c r="K265"/>
      <c r="L265"/>
      <c r="M265">
        <f>IF(AND(ISNUMBER(K265),ISNUMBER(L265)),MAX(K265-L265,0),"")</f>
      </c>
      <c r="N265"/>
      <c r="O265"/>
      <c r="P265"/>
    </row>
    <row r="266">
      <c r="A266" t="inlineStr">
        <is>
          <t>10</t>
        </is>
      </c>
      <c r="B266" t="inlineStr">
        <is>
          <t>10-series-temporales</t>
        </is>
      </c>
      <c r="C266" t="inlineStr">
        <is>
          <t>RNN SeriesTemporales</t>
        </is>
      </c>
      <c r="D266" t="inlineStr">
        <is>
          <t>notebook</t>
        </is>
      </c>
      <c r="E266" t="inlineStr">
        <is>
          <t>10-series-temporales/03-practicas/modelado-notebooks-series-ud4/RNN_SeriesTemporales.ipynb</t>
        </is>
      </c>
      <c r="F266" t="inlineStr">
        <is>
          <t>Revisar</t>
        </is>
      </c>
      <c r="G266"/>
      <c r="H266" t="inlineStr">
        <is>
          <t>Pendiente</t>
        </is>
      </c>
      <c r="I266"/>
      <c r="J266"/>
      <c r="K266"/>
      <c r="L266"/>
      <c r="M266">
        <f>IF(AND(ISNUMBER(K266),ISNUMBER(L266)),MAX(K266-L266,0),"")</f>
      </c>
      <c r="N266"/>
      <c r="O266"/>
      <c r="P266"/>
    </row>
    <row r="267">
      <c r="A267" t="inlineStr">
        <is>
          <t>10</t>
        </is>
      </c>
      <c r="B267" t="inlineStr">
        <is>
          <t>10-series-temporales</t>
        </is>
      </c>
      <c r="C267" t="inlineStr">
        <is>
          <t>Ampliar Notebook 02</t>
        </is>
      </c>
      <c r="D267" t="inlineStr">
        <is>
          <t>script</t>
        </is>
      </c>
      <c r="E267" t="inlineStr">
        <is>
          <t>10-series-temporales/03-practicas/scripts/ampliar_notebook_02.py</t>
        </is>
      </c>
      <c r="F267" t="inlineStr">
        <is>
          <t>Revisar</t>
        </is>
      </c>
      <c r="G267"/>
      <c r="H267" t="inlineStr">
        <is>
          <t>Pendiente</t>
        </is>
      </c>
      <c r="I267"/>
      <c r="J267"/>
      <c r="K267"/>
      <c r="L267"/>
      <c r="M267">
        <f>IF(AND(ISNUMBER(K267),ISNUMBER(L267)),MAX(K267-L267,0),"")</f>
      </c>
      <c r="N267"/>
      <c r="O267"/>
      <c r="P267"/>
    </row>
    <row r="268">
      <c r="A268" t="inlineStr">
        <is>
          <t>10</t>
        </is>
      </c>
      <c r="B268" t="inlineStr">
        <is>
          <t>10-series-temporales</t>
        </is>
      </c>
      <c r="C268" t="inlineStr">
        <is>
          <t>Crear Notebooks Taller</t>
        </is>
      </c>
      <c r="D268" t="inlineStr">
        <is>
          <t>script</t>
        </is>
      </c>
      <c r="E268" t="inlineStr">
        <is>
          <t>10-series-temporales/03-practicas/scripts/crear_notebooks_taller.py</t>
        </is>
      </c>
      <c r="F268" t="inlineStr">
        <is>
          <t>Revisar</t>
        </is>
      </c>
      <c r="G268"/>
      <c r="H268" t="inlineStr">
        <is>
          <t>Pendiente</t>
        </is>
      </c>
      <c r="I268"/>
      <c r="J268"/>
      <c r="K268"/>
      <c r="L268"/>
      <c r="M268">
        <f>IF(AND(ISNUMBER(K268),ISNUMBER(L268)),MAX(K268-L268,0),"")</f>
      </c>
      <c r="N268"/>
      <c r="O268"/>
      <c r="P268"/>
    </row>
    <row r="269">
      <c r="A269" t="inlineStr">
        <is>
          <t>10</t>
        </is>
      </c>
      <c r="B269" t="inlineStr">
        <is>
          <t>10-series-temporales</t>
        </is>
      </c>
      <c r="C269" t="inlineStr">
        <is>
          <t>Generar Datos Demo</t>
        </is>
      </c>
      <c r="D269" t="inlineStr">
        <is>
          <t>script</t>
        </is>
      </c>
      <c r="E269" t="inlineStr">
        <is>
          <t>10-series-temporales/03-practicas/scripts/generar_datos_demo.py</t>
        </is>
      </c>
      <c r="F269" t="inlineStr">
        <is>
          <t>Revisar</t>
        </is>
      </c>
      <c r="G269"/>
      <c r="H269" t="inlineStr">
        <is>
          <t>Pendiente</t>
        </is>
      </c>
      <c r="I269"/>
      <c r="J269"/>
      <c r="K269"/>
      <c r="L269"/>
      <c r="M269">
        <f>IF(AND(ISNUMBER(K269),ISNUMBER(L269)),MAX(K269-L269,0),"")</f>
      </c>
      <c r="N269"/>
      <c r="O269"/>
      <c r="P269"/>
    </row>
    <row r="270">
      <c r="A270" t="inlineStr">
        <is>
          <t>10</t>
        </is>
      </c>
      <c r="B270" t="inlineStr">
        <is>
          <t>10-series-temporales</t>
        </is>
      </c>
      <c r="C270" t="inlineStr">
        <is>
          <t>Generar Datos Proyecto 07</t>
        </is>
      </c>
      <c r="D270" t="inlineStr">
        <is>
          <t>script</t>
        </is>
      </c>
      <c r="E270" t="inlineStr">
        <is>
          <t>10-series-temporales/03-practicas/scripts/generar_datos_proyecto_07.py</t>
        </is>
      </c>
      <c r="F270" t="inlineStr">
        <is>
          <t>Revisar</t>
        </is>
      </c>
      <c r="G270"/>
      <c r="H270" t="inlineStr">
        <is>
          <t>Pendiente</t>
        </is>
      </c>
      <c r="I270"/>
      <c r="J270"/>
      <c r="K270"/>
      <c r="L270"/>
      <c r="M270">
        <f>IF(AND(ISNUMBER(K270),ISNUMBER(L270)),MAX(K270-L270,0),"")</f>
      </c>
      <c r="N270"/>
      <c r="O270"/>
      <c r="P270"/>
    </row>
    <row r="271">
      <c r="A271" t="inlineStr">
        <is>
          <t>10</t>
        </is>
      </c>
      <c r="B271" t="inlineStr">
        <is>
          <t>10-series-temporales</t>
        </is>
      </c>
      <c r="C271" t="inlineStr">
        <is>
          <t>Init</t>
        </is>
      </c>
      <c r="D271" t="inlineStr">
        <is>
          <t>script</t>
        </is>
      </c>
      <c r="E271" t="inlineStr">
        <is>
          <t>10-series-temporales/03-practicas/src/__init__.py</t>
        </is>
      </c>
      <c r="F271" t="inlineStr">
        <is>
          <t>Revisar</t>
        </is>
      </c>
      <c r="G271"/>
      <c r="H271" t="inlineStr">
        <is>
          <t>Pendiente</t>
        </is>
      </c>
      <c r="I271"/>
      <c r="J271"/>
      <c r="K271"/>
      <c r="L271"/>
      <c r="M271">
        <f>IF(AND(ISNUMBER(K271),ISNUMBER(L271)),MAX(K271-L271,0),"")</f>
      </c>
      <c r="N271"/>
      <c r="O271"/>
      <c r="P271"/>
    </row>
    <row r="272">
      <c r="A272" t="inlineStr">
        <is>
          <t>10</t>
        </is>
      </c>
      <c r="B272" t="inlineStr">
        <is>
          <t>10-series-temporales</t>
        </is>
      </c>
      <c r="C272" t="inlineStr">
        <is>
          <t>Generador Consumo</t>
        </is>
      </c>
      <c r="D272" t="inlineStr">
        <is>
          <t>script</t>
        </is>
      </c>
      <c r="E272" t="inlineStr">
        <is>
          <t>10-series-temporales/03-practicas/src/generador_consumo.py</t>
        </is>
      </c>
      <c r="F272" t="inlineStr">
        <is>
          <t>Revisar</t>
        </is>
      </c>
      <c r="G272"/>
      <c r="H272" t="inlineStr">
        <is>
          <t>Pendiente</t>
        </is>
      </c>
      <c r="I272"/>
      <c r="J272"/>
      <c r="K272"/>
      <c r="L272"/>
      <c r="M272">
        <f>IF(AND(ISNUMBER(K272),ISNUMBER(L272)),MAX(K272-L272,0),"")</f>
      </c>
      <c r="N272"/>
      <c r="O272"/>
      <c r="P272"/>
    </row>
    <row r="273">
      <c r="A273" t="inlineStr">
        <is>
          <t>10</t>
        </is>
      </c>
      <c r="B273" t="inlineStr">
        <is>
          <t>10-series-temporales</t>
        </is>
      </c>
      <c r="C273" t="inlineStr">
        <is>
          <t>Init</t>
        </is>
      </c>
      <c r="D273" t="inlineStr">
        <is>
          <t>script</t>
        </is>
      </c>
      <c r="E273" t="inlineStr">
        <is>
          <t>10-series-temporales/03-practicas/src/series_temporales/__init__.py</t>
        </is>
      </c>
      <c r="F273" t="inlineStr">
        <is>
          <t>Revisar</t>
        </is>
      </c>
      <c r="G273"/>
      <c r="H273" t="inlineStr">
        <is>
          <t>Pendiente</t>
        </is>
      </c>
      <c r="I273"/>
      <c r="J273"/>
      <c r="K273"/>
      <c r="L273"/>
      <c r="M273">
        <f>IF(AND(ISNUMBER(K273),ISNUMBER(L273)),MAX(K273-L273,0),"")</f>
      </c>
      <c r="N273"/>
      <c r="O273"/>
      <c r="P273"/>
    </row>
    <row r="274">
      <c r="A274" t="inlineStr">
        <is>
          <t>10</t>
        </is>
      </c>
      <c r="B274" t="inlineStr">
        <is>
          <t>10-series-temporales</t>
        </is>
      </c>
      <c r="C274" t="inlineStr">
        <is>
          <t>Generador Consumo</t>
        </is>
      </c>
      <c r="D274" t="inlineStr">
        <is>
          <t>script</t>
        </is>
      </c>
      <c r="E274" t="inlineStr">
        <is>
          <t>10-series-temporales/03-practicas/src/series_temporales/generador_consumo.py</t>
        </is>
      </c>
      <c r="F274" t="inlineStr">
        <is>
          <t>Revisar</t>
        </is>
      </c>
      <c r="G274"/>
      <c r="H274" t="inlineStr">
        <is>
          <t>Pendiente</t>
        </is>
      </c>
      <c r="I274"/>
      <c r="J274"/>
      <c r="K274"/>
      <c r="L274"/>
      <c r="M274">
        <f>IF(AND(ISNUMBER(K274),ISNUMBER(L274)),MAX(K274-L274,0),"")</f>
      </c>
      <c r="N274"/>
      <c r="O274"/>
      <c r="P274"/>
    </row>
    <row r="275">
      <c r="A275" t="inlineStr">
        <is>
          <t>10</t>
        </is>
      </c>
      <c r="B275" t="inlineStr">
        <is>
          <t>10-series-temporales</t>
        </is>
      </c>
      <c r="C275" t="inlineStr">
        <is>
          <t>Evaluación — UD10 Series Temporales</t>
        </is>
      </c>
      <c r="D275" t="inlineStr">
        <is>
          <t>guía/rúbrica</t>
        </is>
      </c>
      <c r="E275" t="inlineStr">
        <is>
          <t>10-series-temporales/04-evaluacion/README.md</t>
        </is>
      </c>
      <c r="F275" t="inlineStr">
        <is>
          <t>Sí</t>
        </is>
      </c>
      <c r="G275"/>
      <c r="H275" t="inlineStr">
        <is>
          <t>Pendiente</t>
        </is>
      </c>
      <c r="I275"/>
      <c r="J275"/>
      <c r="K275"/>
      <c r="L275"/>
      <c r="M275">
        <f>IF(AND(ISNUMBER(K275),ISNUMBER(L275)),MAX(K275-L275,0),"")</f>
      </c>
      <c r="N275"/>
      <c r="O275"/>
      <c r="P275"/>
    </row>
    <row r="276">
      <c r="A276" t="inlineStr">
        <is>
          <t>10</t>
        </is>
      </c>
      <c r="B276" t="inlineStr">
        <is>
          <t>10-series-temporales</t>
        </is>
      </c>
      <c r="C276" t="inlineStr">
        <is>
          <t>Checklist de entrega — UD10 Series Temporales</t>
        </is>
      </c>
      <c r="D276" t="inlineStr">
        <is>
          <t>guía/rúbrica</t>
        </is>
      </c>
      <c r="E276" t="inlineStr">
        <is>
          <t>10-series-temporales/04-evaluacion/checklist-entrega.md</t>
        </is>
      </c>
      <c r="F276" t="inlineStr">
        <is>
          <t>Sí</t>
        </is>
      </c>
      <c r="G276"/>
      <c r="H276" t="inlineStr">
        <is>
          <t>Pendiente</t>
        </is>
      </c>
      <c r="I276"/>
      <c r="J276"/>
      <c r="K276"/>
      <c r="L276"/>
      <c r="M276">
        <f>IF(AND(ISNUMBER(K276),ISNUMBER(L276)),MAX(K276-L276,0),"")</f>
      </c>
      <c r="N276"/>
      <c r="O276"/>
      <c r="P276"/>
    </row>
    <row r="277">
      <c r="A277" t="inlineStr">
        <is>
          <t>10</t>
        </is>
      </c>
      <c r="B277" t="inlineStr">
        <is>
          <t>10-series-temporales</t>
        </is>
      </c>
      <c r="C277" t="inlineStr">
        <is>
          <t>Cuestionario Series Temporales</t>
        </is>
      </c>
      <c r="D277" t="inlineStr">
        <is>
          <t>cuestionario</t>
        </is>
      </c>
      <c r="E277" t="inlineStr">
        <is>
          <t>10-series-temporales/04-evaluacion/cuestionario_series_temporales.gift</t>
        </is>
      </c>
      <c r="F277" t="inlineStr">
        <is>
          <t>Sí</t>
        </is>
      </c>
      <c r="G277"/>
      <c r="H277" t="inlineStr">
        <is>
          <t>Pendiente</t>
        </is>
      </c>
      <c r="I277"/>
      <c r="J277"/>
      <c r="K277"/>
      <c r="L277"/>
      <c r="M277">
        <f>IF(AND(ISNUMBER(K277),ISNUMBER(L277)),MAX(K277-L277,0),"")</f>
      </c>
      <c r="N277"/>
      <c r="O277"/>
      <c r="P277"/>
    </row>
    <row r="278">
      <c r="A278" t="inlineStr">
        <is>
          <t>10</t>
        </is>
      </c>
      <c r="B278" t="inlineStr">
        <is>
          <t>10-series-temporales</t>
        </is>
      </c>
      <c r="C278" t="inlineStr">
        <is>
          <t>Rúbrica — UD10 Series Temporales</t>
        </is>
      </c>
      <c r="D278" t="inlineStr">
        <is>
          <t>guía/rúbrica</t>
        </is>
      </c>
      <c r="E278" t="inlineStr">
        <is>
          <t>10-series-temporales/04-evaluacion/rubrica.md</t>
        </is>
      </c>
      <c r="F278" t="inlineStr">
        <is>
          <t>Sí</t>
        </is>
      </c>
      <c r="G278"/>
      <c r="H278" t="inlineStr">
        <is>
          <t>Pendiente</t>
        </is>
      </c>
      <c r="I278"/>
      <c r="J278"/>
      <c r="K278"/>
      <c r="L278"/>
      <c r="M278">
        <f>IF(AND(ISNUMBER(K278),ISNUMBER(L278)),MAX(K278-L278,0),"")</f>
      </c>
      <c r="N278"/>
      <c r="O278"/>
      <c r="P278"/>
    </row>
    <row r="279">
      <c r="A279" t="inlineStr">
        <is>
          <t>11</t>
        </is>
      </c>
      <c r="B279" t="inlineStr">
        <is>
          <t>11-anexos</t>
        </is>
      </c>
      <c r="C279" t="inlineStr">
        <is>
          <t>Evaluación — UD11 Anexos</t>
        </is>
      </c>
      <c r="D279" t="inlineStr">
        <is>
          <t>guía/rúbrica</t>
        </is>
      </c>
      <c r="E279" t="inlineStr">
        <is>
          <t>11-anexos/04-evaluacion/README.md</t>
        </is>
      </c>
      <c r="F279" t="inlineStr">
        <is>
          <t>Sí</t>
        </is>
      </c>
      <c r="G279"/>
      <c r="H279" t="inlineStr">
        <is>
          <t>Pendiente</t>
        </is>
      </c>
      <c r="I279"/>
      <c r="J279"/>
      <c r="K279"/>
      <c r="L279"/>
      <c r="M279">
        <f>IF(AND(ISNUMBER(K279),ISNUMBER(L279)),MAX(K279-L279,0),"")</f>
      </c>
      <c r="N279"/>
      <c r="O279"/>
      <c r="P279"/>
    </row>
    <row r="280">
      <c r="A280" t="inlineStr">
        <is>
          <t>12</t>
        </is>
      </c>
      <c r="B280" t="inlineStr">
        <is>
          <t>12-proyecto-integrado</t>
        </is>
      </c>
      <c r="C280" t="inlineStr">
        <is>
          <t>Evaluación — UD12 Proyecto Integrado</t>
        </is>
      </c>
      <c r="D280" t="inlineStr">
        <is>
          <t>guía/rúbrica</t>
        </is>
      </c>
      <c r="E280" t="inlineStr">
        <is>
          <t>12-proyecto-integrado/04-evaluacion/README.md</t>
        </is>
      </c>
      <c r="F280" t="inlineStr">
        <is>
          <t>Sí</t>
        </is>
      </c>
      <c r="G280"/>
      <c r="H280" t="inlineStr">
        <is>
          <t>Pendiente</t>
        </is>
      </c>
      <c r="I280"/>
      <c r="J280"/>
      <c r="K280"/>
      <c r="L280"/>
      <c r="M280">
        <f>IF(AND(ISNUMBER(K280),ISNUMBER(L280)),MAX(K280-L280,0),"")</f>
      </c>
      <c r="N280"/>
      <c r="O280"/>
      <c r="P280"/>
    </row>
  </sheetData>
  <autoFilter ref="A1:P280"/>
  <dataValidations count="2">
    <dataValidation type="list" allowBlank="1" showErrorMessage="1" sqref="F2:F1000">
      <formula1>"Sí,No,Revisar"</formula1>
    </dataValidation>
    <dataValidation type="list" allowBlank="1" showErrorMessage="1" sqref="H2:H1000">
      <formula1>"Pendiente,En curso,Entregada,Corregida,Devuelta,Archivada"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dimension ref="A1:O5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42" customWidth="1"/>
    <col min="4" max="4" width="60" customWidth="1"/>
    <col min="5" max="5" width="10" customWidth="1"/>
    <col min="6" max="6" width="10" customWidth="1"/>
    <col min="7" max="7" width="55" customWidth="1"/>
    <col min="8" max="8" width="32" customWidth="1"/>
    <col min="9" max="9" width="18" customWidth="1"/>
    <col min="10" max="10" width="18" customWidth="1"/>
    <col min="11" max="11" width="16" customWidth="1"/>
    <col min="12" max="12" width="14" customWidth="1"/>
    <col min="13" max="13" width="12" customWidth="1"/>
    <col min="14" max="14" width="18" customWidth="1"/>
    <col min="15" max="15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Actividad</t>
        </is>
      </c>
      <c r="D1" t="inlineStr" s="1">
        <is>
          <t>Ruta</t>
        </is>
      </c>
      <c r="E1" t="inlineStr" s="1">
        <is>
          <t>RA</t>
        </is>
      </c>
      <c r="F1" t="inlineStr" s="1">
        <is>
          <t>CE</t>
        </is>
      </c>
      <c r="G1" t="inlineStr" s="1">
        <is>
          <t>Descripción CE</t>
        </is>
      </c>
      <c r="H1" t="inlineStr" s="1">
        <is>
          <t>Evidencia</t>
        </is>
      </c>
      <c r="I1" t="inlineStr" s="1">
        <is>
          <t>Estado entrega</t>
        </is>
      </c>
      <c r="J1" t="inlineStr" s="1">
        <is>
          <t>Estado corrección</t>
        </is>
      </c>
      <c r="K1" t="inlineStr" s="1">
        <is>
          <t>Fecha entrega</t>
        </is>
      </c>
      <c r="L1" t="inlineStr" s="1">
        <is>
          <t>Nota CE 0-10</t>
        </is>
      </c>
      <c r="M1" t="inlineStr" s="1">
        <is>
          <t>Peso CE %</t>
        </is>
      </c>
      <c r="N1" t="inlineStr" s="1">
        <is>
          <t>Nota ponderada CE</t>
        </is>
      </c>
      <c r="O1" t="inlineStr" s="1">
        <is>
          <t>Observaciones</t>
        </is>
      </c>
    </row>
    <row r="2">
      <c r="A2"/>
      <c r="B2"/>
      <c r="C2"/>
      <c r="D2"/>
      <c r="E2"/>
      <c r="F2"/>
      <c r="G2"/>
      <c r="H2"/>
      <c r="I2" t="inlineStr">
        <is>
          <t>No empezada</t>
        </is>
      </c>
      <c r="J2" t="inlineStr">
        <is>
          <t>Pendiente</t>
        </is>
      </c>
      <c r="K2"/>
      <c r="L2"/>
      <c r="M2"/>
      <c r="N2">
        <f>IF(AND(ISNUMBER(L2),ISNUMBER(M2)),L2*M2/100,"")</f>
      </c>
      <c r="O2"/>
    </row>
    <row r="3">
      <c r="A3"/>
      <c r="B3"/>
      <c r="C3"/>
      <c r="D3"/>
      <c r="E3"/>
      <c r="F3"/>
      <c r="G3"/>
      <c r="H3"/>
      <c r="I3" t="inlineStr">
        <is>
          <t>No empezada</t>
        </is>
      </c>
      <c r="J3" t="inlineStr">
        <is>
          <t>Pendiente</t>
        </is>
      </c>
      <c r="K3"/>
      <c r="L3"/>
      <c r="M3"/>
      <c r="N3">
        <f>IF(AND(ISNUMBER(L3),ISNUMBER(M3)),L3*M3/100,"")</f>
      </c>
      <c r="O3"/>
    </row>
    <row r="4">
      <c r="A4"/>
      <c r="B4"/>
      <c r="C4"/>
      <c r="D4"/>
      <c r="E4"/>
      <c r="F4"/>
      <c r="G4"/>
      <c r="H4"/>
      <c r="I4" t="inlineStr">
        <is>
          <t>No empezada</t>
        </is>
      </c>
      <c r="J4" t="inlineStr">
        <is>
          <t>Pendiente</t>
        </is>
      </c>
      <c r="K4"/>
      <c r="L4"/>
      <c r="M4"/>
      <c r="N4">
        <f>IF(AND(ISNUMBER(L4),ISNUMBER(M4)),L4*M4/100,"")</f>
      </c>
      <c r="O4"/>
    </row>
    <row r="5">
      <c r="A5"/>
      <c r="B5"/>
      <c r="C5"/>
      <c r="D5"/>
      <c r="E5"/>
      <c r="F5"/>
      <c r="G5"/>
      <c r="H5"/>
      <c r="I5" t="inlineStr">
        <is>
          <t>No empezada</t>
        </is>
      </c>
      <c r="J5" t="inlineStr">
        <is>
          <t>Pendiente</t>
        </is>
      </c>
      <c r="K5"/>
      <c r="L5"/>
      <c r="M5"/>
      <c r="N5">
        <f>IF(AND(ISNUMBER(L5),ISNUMBER(M5)),L5*M5/100,"")</f>
      </c>
      <c r="O5"/>
    </row>
    <row r="6">
      <c r="A6"/>
      <c r="B6"/>
      <c r="C6"/>
      <c r="D6"/>
      <c r="E6"/>
      <c r="F6"/>
      <c r="G6"/>
      <c r="H6"/>
      <c r="I6" t="inlineStr">
        <is>
          <t>No empezada</t>
        </is>
      </c>
      <c r="J6" t="inlineStr">
        <is>
          <t>Pendiente</t>
        </is>
      </c>
      <c r="K6"/>
      <c r="L6"/>
      <c r="M6"/>
      <c r="N6">
        <f>IF(AND(ISNUMBER(L6),ISNUMBER(M6)),L6*M6/100,"")</f>
      </c>
      <c r="O6"/>
    </row>
    <row r="7">
      <c r="A7"/>
      <c r="B7"/>
      <c r="C7"/>
      <c r="D7"/>
      <c r="E7"/>
      <c r="F7"/>
      <c r="G7"/>
      <c r="H7"/>
      <c r="I7" t="inlineStr">
        <is>
          <t>No empezada</t>
        </is>
      </c>
      <c r="J7" t="inlineStr">
        <is>
          <t>Pendiente</t>
        </is>
      </c>
      <c r="K7"/>
      <c r="L7"/>
      <c r="M7"/>
      <c r="N7">
        <f>IF(AND(ISNUMBER(L7),ISNUMBER(M7)),L7*M7/100,"")</f>
      </c>
      <c r="O7"/>
    </row>
    <row r="8">
      <c r="A8"/>
      <c r="B8"/>
      <c r="C8"/>
      <c r="D8"/>
      <c r="E8"/>
      <c r="F8"/>
      <c r="G8"/>
      <c r="H8"/>
      <c r="I8" t="inlineStr">
        <is>
          <t>No empezada</t>
        </is>
      </c>
      <c r="J8" t="inlineStr">
        <is>
          <t>Pendiente</t>
        </is>
      </c>
      <c r="K8"/>
      <c r="L8"/>
      <c r="M8"/>
      <c r="N8">
        <f>IF(AND(ISNUMBER(L8),ISNUMBER(M8)),L8*M8/100,"")</f>
      </c>
      <c r="O8"/>
    </row>
    <row r="9">
      <c r="A9"/>
      <c r="B9"/>
      <c r="C9"/>
      <c r="D9"/>
      <c r="E9"/>
      <c r="F9"/>
      <c r="G9"/>
      <c r="H9"/>
      <c r="I9" t="inlineStr">
        <is>
          <t>No empezada</t>
        </is>
      </c>
      <c r="J9" t="inlineStr">
        <is>
          <t>Pendiente</t>
        </is>
      </c>
      <c r="K9"/>
      <c r="L9"/>
      <c r="M9"/>
      <c r="N9">
        <f>IF(AND(ISNUMBER(L9),ISNUMBER(M9)),L9*M9/100,"")</f>
      </c>
      <c r="O9"/>
    </row>
    <row r="10">
      <c r="A10"/>
      <c r="B10"/>
      <c r="C10"/>
      <c r="D10"/>
      <c r="E10"/>
      <c r="F10"/>
      <c r="G10"/>
      <c r="H10"/>
      <c r="I10" t="inlineStr">
        <is>
          <t>No empezada</t>
        </is>
      </c>
      <c r="J10" t="inlineStr">
        <is>
          <t>Pendiente</t>
        </is>
      </c>
      <c r="K10"/>
      <c r="L10"/>
      <c r="M10"/>
      <c r="N10">
        <f>IF(AND(ISNUMBER(L10),ISNUMBER(M10)),L10*M10/100,"")</f>
      </c>
      <c r="O10"/>
    </row>
    <row r="11">
      <c r="A11"/>
      <c r="B11"/>
      <c r="C11"/>
      <c r="D11"/>
      <c r="E11"/>
      <c r="F11"/>
      <c r="G11"/>
      <c r="H11"/>
      <c r="I11" t="inlineStr">
        <is>
          <t>No empezada</t>
        </is>
      </c>
      <c r="J11" t="inlineStr">
        <is>
          <t>Pendiente</t>
        </is>
      </c>
      <c r="K11"/>
      <c r="L11"/>
      <c r="M11"/>
      <c r="N11">
        <f>IF(AND(ISNUMBER(L11),ISNUMBER(M11)),L11*M11/100,"")</f>
      </c>
      <c r="O11"/>
    </row>
    <row r="12">
      <c r="A12"/>
      <c r="B12"/>
      <c r="C12"/>
      <c r="D12"/>
      <c r="E12"/>
      <c r="F12"/>
      <c r="G12"/>
      <c r="H12"/>
      <c r="I12" t="inlineStr">
        <is>
          <t>No empezada</t>
        </is>
      </c>
      <c r="J12" t="inlineStr">
        <is>
          <t>Pendiente</t>
        </is>
      </c>
      <c r="K12"/>
      <c r="L12"/>
      <c r="M12"/>
      <c r="N12">
        <f>IF(AND(ISNUMBER(L12),ISNUMBER(M12)),L12*M12/100,"")</f>
      </c>
      <c r="O12"/>
    </row>
    <row r="13">
      <c r="A13"/>
      <c r="B13"/>
      <c r="C13"/>
      <c r="D13"/>
      <c r="E13"/>
      <c r="F13"/>
      <c r="G13"/>
      <c r="H13"/>
      <c r="I13" t="inlineStr">
        <is>
          <t>No empezada</t>
        </is>
      </c>
      <c r="J13" t="inlineStr">
        <is>
          <t>Pendiente</t>
        </is>
      </c>
      <c r="K13"/>
      <c r="L13"/>
      <c r="M13"/>
      <c r="N13">
        <f>IF(AND(ISNUMBER(L13),ISNUMBER(M13)),L13*M13/100,"")</f>
      </c>
      <c r="O13"/>
    </row>
    <row r="14">
      <c r="A14"/>
      <c r="B14"/>
      <c r="C14"/>
      <c r="D14"/>
      <c r="E14"/>
      <c r="F14"/>
      <c r="G14"/>
      <c r="H14"/>
      <c r="I14" t="inlineStr">
        <is>
          <t>No empezada</t>
        </is>
      </c>
      <c r="J14" t="inlineStr">
        <is>
          <t>Pendiente</t>
        </is>
      </c>
      <c r="K14"/>
      <c r="L14"/>
      <c r="M14"/>
      <c r="N14">
        <f>IF(AND(ISNUMBER(L14),ISNUMBER(M14)),L14*M14/100,"")</f>
      </c>
      <c r="O14"/>
    </row>
    <row r="15">
      <c r="A15"/>
      <c r="B15"/>
      <c r="C15"/>
      <c r="D15"/>
      <c r="E15"/>
      <c r="F15"/>
      <c r="G15"/>
      <c r="H15"/>
      <c r="I15" t="inlineStr">
        <is>
          <t>No empezada</t>
        </is>
      </c>
      <c r="J15" t="inlineStr">
        <is>
          <t>Pendiente</t>
        </is>
      </c>
      <c r="K15"/>
      <c r="L15"/>
      <c r="M15"/>
      <c r="N15">
        <f>IF(AND(ISNUMBER(L15),ISNUMBER(M15)),L15*M15/100,"")</f>
      </c>
      <c r="O15"/>
    </row>
    <row r="16">
      <c r="A16"/>
      <c r="B16"/>
      <c r="C16"/>
      <c r="D16"/>
      <c r="E16"/>
      <c r="F16"/>
      <c r="G16"/>
      <c r="H16"/>
      <c r="I16" t="inlineStr">
        <is>
          <t>No empezada</t>
        </is>
      </c>
      <c r="J16" t="inlineStr">
        <is>
          <t>Pendiente</t>
        </is>
      </c>
      <c r="K16"/>
      <c r="L16"/>
      <c r="M16"/>
      <c r="N16">
        <f>IF(AND(ISNUMBER(L16),ISNUMBER(M16)),L16*M16/100,"")</f>
      </c>
      <c r="O16"/>
    </row>
    <row r="17">
      <c r="A17"/>
      <c r="B17"/>
      <c r="C17"/>
      <c r="D17"/>
      <c r="E17"/>
      <c r="F17"/>
      <c r="G17"/>
      <c r="H17"/>
      <c r="I17" t="inlineStr">
        <is>
          <t>No empezada</t>
        </is>
      </c>
      <c r="J17" t="inlineStr">
        <is>
          <t>Pendiente</t>
        </is>
      </c>
      <c r="K17"/>
      <c r="L17"/>
      <c r="M17"/>
      <c r="N17">
        <f>IF(AND(ISNUMBER(L17),ISNUMBER(M17)),L17*M17/100,"")</f>
      </c>
      <c r="O17"/>
    </row>
    <row r="18">
      <c r="A18"/>
      <c r="B18"/>
      <c r="C18"/>
      <c r="D18"/>
      <c r="E18"/>
      <c r="F18"/>
      <c r="G18"/>
      <c r="H18"/>
      <c r="I18" t="inlineStr">
        <is>
          <t>No empezada</t>
        </is>
      </c>
      <c r="J18" t="inlineStr">
        <is>
          <t>Pendiente</t>
        </is>
      </c>
      <c r="K18"/>
      <c r="L18"/>
      <c r="M18"/>
      <c r="N18">
        <f>IF(AND(ISNUMBER(L18),ISNUMBER(M18)),L18*M18/100,"")</f>
      </c>
      <c r="O18"/>
    </row>
    <row r="19">
      <c r="A19"/>
      <c r="B19"/>
      <c r="C19"/>
      <c r="D19"/>
      <c r="E19"/>
      <c r="F19"/>
      <c r="G19"/>
      <c r="H19"/>
      <c r="I19" t="inlineStr">
        <is>
          <t>No empezada</t>
        </is>
      </c>
      <c r="J19" t="inlineStr">
        <is>
          <t>Pendiente</t>
        </is>
      </c>
      <c r="K19"/>
      <c r="L19"/>
      <c r="M19"/>
      <c r="N19">
        <f>IF(AND(ISNUMBER(L19),ISNUMBER(M19)),L19*M19/100,"")</f>
      </c>
      <c r="O19"/>
    </row>
    <row r="20">
      <c r="A20"/>
      <c r="B20"/>
      <c r="C20"/>
      <c r="D20"/>
      <c r="E20"/>
      <c r="F20"/>
      <c r="G20"/>
      <c r="H20"/>
      <c r="I20" t="inlineStr">
        <is>
          <t>No empezada</t>
        </is>
      </c>
      <c r="J20" t="inlineStr">
        <is>
          <t>Pendiente</t>
        </is>
      </c>
      <c r="K20"/>
      <c r="L20"/>
      <c r="M20"/>
      <c r="N20">
        <f>IF(AND(ISNUMBER(L20),ISNUMBER(M20)),L20*M20/100,"")</f>
      </c>
      <c r="O20"/>
    </row>
    <row r="21">
      <c r="A21"/>
      <c r="B21"/>
      <c r="C21"/>
      <c r="D21"/>
      <c r="E21"/>
      <c r="F21"/>
      <c r="G21"/>
      <c r="H21"/>
      <c r="I21" t="inlineStr">
        <is>
          <t>No empezada</t>
        </is>
      </c>
      <c r="J21" t="inlineStr">
        <is>
          <t>Pendiente</t>
        </is>
      </c>
      <c r="K21"/>
      <c r="L21"/>
      <c r="M21"/>
      <c r="N21">
        <f>IF(AND(ISNUMBER(L21),ISNUMBER(M21)),L21*M21/100,"")</f>
      </c>
      <c r="O21"/>
    </row>
    <row r="22">
      <c r="A22"/>
      <c r="B22"/>
      <c r="C22"/>
      <c r="D22"/>
      <c r="E22"/>
      <c r="F22"/>
      <c r="G22"/>
      <c r="H22"/>
      <c r="I22" t="inlineStr">
        <is>
          <t>No empezada</t>
        </is>
      </c>
      <c r="J22" t="inlineStr">
        <is>
          <t>Pendiente</t>
        </is>
      </c>
      <c r="K22"/>
      <c r="L22"/>
      <c r="M22"/>
      <c r="N22">
        <f>IF(AND(ISNUMBER(L22),ISNUMBER(M22)),L22*M22/100,"")</f>
      </c>
      <c r="O22"/>
    </row>
    <row r="23">
      <c r="A23"/>
      <c r="B23"/>
      <c r="C23"/>
      <c r="D23"/>
      <c r="E23"/>
      <c r="F23"/>
      <c r="G23"/>
      <c r="H23"/>
      <c r="I23" t="inlineStr">
        <is>
          <t>No empezada</t>
        </is>
      </c>
      <c r="J23" t="inlineStr">
        <is>
          <t>Pendiente</t>
        </is>
      </c>
      <c r="K23"/>
      <c r="L23"/>
      <c r="M23"/>
      <c r="N23">
        <f>IF(AND(ISNUMBER(L23),ISNUMBER(M23)),L23*M23/100,"")</f>
      </c>
      <c r="O23"/>
    </row>
    <row r="24">
      <c r="A24"/>
      <c r="B24"/>
      <c r="C24"/>
      <c r="D24"/>
      <c r="E24"/>
      <c r="F24"/>
      <c r="G24"/>
      <c r="H24"/>
      <c r="I24" t="inlineStr">
        <is>
          <t>No empezada</t>
        </is>
      </c>
      <c r="J24" t="inlineStr">
        <is>
          <t>Pendiente</t>
        </is>
      </c>
      <c r="K24"/>
      <c r="L24"/>
      <c r="M24"/>
      <c r="N24">
        <f>IF(AND(ISNUMBER(L24),ISNUMBER(M24)),L24*M24/100,"")</f>
      </c>
      <c r="O24"/>
    </row>
    <row r="25">
      <c r="A25"/>
      <c r="B25"/>
      <c r="C25"/>
      <c r="D25"/>
      <c r="E25"/>
      <c r="F25"/>
      <c r="G25"/>
      <c r="H25"/>
      <c r="I25" t="inlineStr">
        <is>
          <t>No empezada</t>
        </is>
      </c>
      <c r="J25" t="inlineStr">
        <is>
          <t>Pendiente</t>
        </is>
      </c>
      <c r="K25"/>
      <c r="L25"/>
      <c r="M25"/>
      <c r="N25">
        <f>IF(AND(ISNUMBER(L25),ISNUMBER(M25)),L25*M25/100,"")</f>
      </c>
      <c r="O25"/>
    </row>
    <row r="26">
      <c r="A26"/>
      <c r="B26"/>
      <c r="C26"/>
      <c r="D26"/>
      <c r="E26"/>
      <c r="F26"/>
      <c r="G26"/>
      <c r="H26"/>
      <c r="I26" t="inlineStr">
        <is>
          <t>No empezada</t>
        </is>
      </c>
      <c r="J26" t="inlineStr">
        <is>
          <t>Pendiente</t>
        </is>
      </c>
      <c r="K26"/>
      <c r="L26"/>
      <c r="M26"/>
      <c r="N26">
        <f>IF(AND(ISNUMBER(L26),ISNUMBER(M26)),L26*M26/100,"")</f>
      </c>
      <c r="O26"/>
    </row>
    <row r="27">
      <c r="A27"/>
      <c r="B27"/>
      <c r="C27"/>
      <c r="D27"/>
      <c r="E27"/>
      <c r="F27"/>
      <c r="G27"/>
      <c r="H27"/>
      <c r="I27" t="inlineStr">
        <is>
          <t>No empezada</t>
        </is>
      </c>
      <c r="J27" t="inlineStr">
        <is>
          <t>Pendiente</t>
        </is>
      </c>
      <c r="K27"/>
      <c r="L27"/>
      <c r="M27"/>
      <c r="N27">
        <f>IF(AND(ISNUMBER(L27),ISNUMBER(M27)),L27*M27/100,"")</f>
      </c>
      <c r="O27"/>
    </row>
    <row r="28">
      <c r="A28"/>
      <c r="B28"/>
      <c r="C28"/>
      <c r="D28"/>
      <c r="E28"/>
      <c r="F28"/>
      <c r="G28"/>
      <c r="H28"/>
      <c r="I28" t="inlineStr">
        <is>
          <t>No empezada</t>
        </is>
      </c>
      <c r="J28" t="inlineStr">
        <is>
          <t>Pendiente</t>
        </is>
      </c>
      <c r="K28"/>
      <c r="L28"/>
      <c r="M28"/>
      <c r="N28">
        <f>IF(AND(ISNUMBER(L28),ISNUMBER(M28)),L28*M28/100,"")</f>
      </c>
      <c r="O28"/>
    </row>
    <row r="29">
      <c r="A29"/>
      <c r="B29"/>
      <c r="C29"/>
      <c r="D29"/>
      <c r="E29"/>
      <c r="F29"/>
      <c r="G29"/>
      <c r="H29"/>
      <c r="I29" t="inlineStr">
        <is>
          <t>No empezada</t>
        </is>
      </c>
      <c r="J29" t="inlineStr">
        <is>
          <t>Pendiente</t>
        </is>
      </c>
      <c r="K29"/>
      <c r="L29"/>
      <c r="M29"/>
      <c r="N29">
        <f>IF(AND(ISNUMBER(L29),ISNUMBER(M29)),L29*M29/100,"")</f>
      </c>
      <c r="O29"/>
    </row>
    <row r="30">
      <c r="A30"/>
      <c r="B30"/>
      <c r="C30"/>
      <c r="D30"/>
      <c r="E30"/>
      <c r="F30"/>
      <c r="G30"/>
      <c r="H30"/>
      <c r="I30" t="inlineStr">
        <is>
          <t>No empezada</t>
        </is>
      </c>
      <c r="J30" t="inlineStr">
        <is>
          <t>Pendiente</t>
        </is>
      </c>
      <c r="K30"/>
      <c r="L30"/>
      <c r="M30"/>
      <c r="N30">
        <f>IF(AND(ISNUMBER(L30),ISNUMBER(M30)),L30*M30/100,"")</f>
      </c>
      <c r="O30"/>
    </row>
    <row r="31">
      <c r="A31"/>
      <c r="B31"/>
      <c r="C31"/>
      <c r="D31"/>
      <c r="E31"/>
      <c r="F31"/>
      <c r="G31"/>
      <c r="H31"/>
      <c r="I31" t="inlineStr">
        <is>
          <t>No empezada</t>
        </is>
      </c>
      <c r="J31" t="inlineStr">
        <is>
          <t>Pendiente</t>
        </is>
      </c>
      <c r="K31"/>
      <c r="L31"/>
      <c r="M31"/>
      <c r="N31">
        <f>IF(AND(ISNUMBER(L31),ISNUMBER(M31)),L31*M31/100,"")</f>
      </c>
      <c r="O31"/>
    </row>
    <row r="32">
      <c r="A32"/>
      <c r="B32"/>
      <c r="C32"/>
      <c r="D32"/>
      <c r="E32"/>
      <c r="F32"/>
      <c r="G32"/>
      <c r="H32"/>
      <c r="I32" t="inlineStr">
        <is>
          <t>No empezada</t>
        </is>
      </c>
      <c r="J32" t="inlineStr">
        <is>
          <t>Pendiente</t>
        </is>
      </c>
      <c r="K32"/>
      <c r="L32"/>
      <c r="M32"/>
      <c r="N32">
        <f>IF(AND(ISNUMBER(L32),ISNUMBER(M32)),L32*M32/100,"")</f>
      </c>
      <c r="O32"/>
    </row>
    <row r="33">
      <c r="A33"/>
      <c r="B33"/>
      <c r="C33"/>
      <c r="D33"/>
      <c r="E33"/>
      <c r="F33"/>
      <c r="G33"/>
      <c r="H33"/>
      <c r="I33" t="inlineStr">
        <is>
          <t>No empezada</t>
        </is>
      </c>
      <c r="J33" t="inlineStr">
        <is>
          <t>Pendiente</t>
        </is>
      </c>
      <c r="K33"/>
      <c r="L33"/>
      <c r="M33"/>
      <c r="N33">
        <f>IF(AND(ISNUMBER(L33),ISNUMBER(M33)),L33*M33/100,"")</f>
      </c>
      <c r="O33"/>
    </row>
    <row r="34">
      <c r="A34"/>
      <c r="B34"/>
      <c r="C34"/>
      <c r="D34"/>
      <c r="E34"/>
      <c r="F34"/>
      <c r="G34"/>
      <c r="H34"/>
      <c r="I34" t="inlineStr">
        <is>
          <t>No empezada</t>
        </is>
      </c>
      <c r="J34" t="inlineStr">
        <is>
          <t>Pendiente</t>
        </is>
      </c>
      <c r="K34"/>
      <c r="L34"/>
      <c r="M34"/>
      <c r="N34">
        <f>IF(AND(ISNUMBER(L34),ISNUMBER(M34)),L34*M34/100,"")</f>
      </c>
      <c r="O34"/>
    </row>
    <row r="35">
      <c r="A35"/>
      <c r="B35"/>
      <c r="C35"/>
      <c r="D35"/>
      <c r="E35"/>
      <c r="F35"/>
      <c r="G35"/>
      <c r="H35"/>
      <c r="I35" t="inlineStr">
        <is>
          <t>No empezada</t>
        </is>
      </c>
      <c r="J35" t="inlineStr">
        <is>
          <t>Pendiente</t>
        </is>
      </c>
      <c r="K35"/>
      <c r="L35"/>
      <c r="M35"/>
      <c r="N35">
        <f>IF(AND(ISNUMBER(L35),ISNUMBER(M35)),L35*M35/100,"")</f>
      </c>
      <c r="O35"/>
    </row>
    <row r="36">
      <c r="A36"/>
      <c r="B36"/>
      <c r="C36"/>
      <c r="D36"/>
      <c r="E36"/>
      <c r="F36"/>
      <c r="G36"/>
      <c r="H36"/>
      <c r="I36" t="inlineStr">
        <is>
          <t>No empezada</t>
        </is>
      </c>
      <c r="J36" t="inlineStr">
        <is>
          <t>Pendiente</t>
        </is>
      </c>
      <c r="K36"/>
      <c r="L36"/>
      <c r="M36"/>
      <c r="N36">
        <f>IF(AND(ISNUMBER(L36),ISNUMBER(M36)),L36*M36/100,"")</f>
      </c>
      <c r="O36"/>
    </row>
    <row r="37">
      <c r="A37"/>
      <c r="B37"/>
      <c r="C37"/>
      <c r="D37"/>
      <c r="E37"/>
      <c r="F37"/>
      <c r="G37"/>
      <c r="H37"/>
      <c r="I37" t="inlineStr">
        <is>
          <t>No empezada</t>
        </is>
      </c>
      <c r="J37" t="inlineStr">
        <is>
          <t>Pendiente</t>
        </is>
      </c>
      <c r="K37"/>
      <c r="L37"/>
      <c r="M37"/>
      <c r="N37">
        <f>IF(AND(ISNUMBER(L37),ISNUMBER(M37)),L37*M37/100,"")</f>
      </c>
      <c r="O37"/>
    </row>
    <row r="38">
      <c r="A38"/>
      <c r="B38"/>
      <c r="C38"/>
      <c r="D38"/>
      <c r="E38"/>
      <c r="F38"/>
      <c r="G38"/>
      <c r="H38"/>
      <c r="I38" t="inlineStr">
        <is>
          <t>No empezada</t>
        </is>
      </c>
      <c r="J38" t="inlineStr">
        <is>
          <t>Pendiente</t>
        </is>
      </c>
      <c r="K38"/>
      <c r="L38"/>
      <c r="M38"/>
      <c r="N38">
        <f>IF(AND(ISNUMBER(L38),ISNUMBER(M38)),L38*M38/100,"")</f>
      </c>
      <c r="O38"/>
    </row>
    <row r="39">
      <c r="A39"/>
      <c r="B39"/>
      <c r="C39"/>
      <c r="D39"/>
      <c r="E39"/>
      <c r="F39"/>
      <c r="G39"/>
      <c r="H39"/>
      <c r="I39" t="inlineStr">
        <is>
          <t>No empezada</t>
        </is>
      </c>
      <c r="J39" t="inlineStr">
        <is>
          <t>Pendiente</t>
        </is>
      </c>
      <c r="K39"/>
      <c r="L39"/>
      <c r="M39"/>
      <c r="N39">
        <f>IF(AND(ISNUMBER(L39),ISNUMBER(M39)),L39*M39/100,"")</f>
      </c>
      <c r="O39"/>
    </row>
    <row r="40">
      <c r="A40"/>
      <c r="B40"/>
      <c r="C40"/>
      <c r="D40"/>
      <c r="E40"/>
      <c r="F40"/>
      <c r="G40"/>
      <c r="H40"/>
      <c r="I40" t="inlineStr">
        <is>
          <t>No empezada</t>
        </is>
      </c>
      <c r="J40" t="inlineStr">
        <is>
          <t>Pendiente</t>
        </is>
      </c>
      <c r="K40"/>
      <c r="L40"/>
      <c r="M40"/>
      <c r="N40">
        <f>IF(AND(ISNUMBER(L40),ISNUMBER(M40)),L40*M40/100,"")</f>
      </c>
      <c r="O40"/>
    </row>
    <row r="41">
      <c r="A41"/>
      <c r="B41"/>
      <c r="C41"/>
      <c r="D41"/>
      <c r="E41"/>
      <c r="F41"/>
      <c r="G41"/>
      <c r="H41"/>
      <c r="I41" t="inlineStr">
        <is>
          <t>No empezada</t>
        </is>
      </c>
      <c r="J41" t="inlineStr">
        <is>
          <t>Pendiente</t>
        </is>
      </c>
      <c r="K41"/>
      <c r="L41"/>
      <c r="M41"/>
      <c r="N41">
        <f>IF(AND(ISNUMBER(L41),ISNUMBER(M41)),L41*M41/100,"")</f>
      </c>
      <c r="O41"/>
    </row>
    <row r="42">
      <c r="A42"/>
      <c r="B42"/>
      <c r="C42"/>
      <c r="D42"/>
      <c r="E42"/>
      <c r="F42"/>
      <c r="G42"/>
      <c r="H42"/>
      <c r="I42" t="inlineStr">
        <is>
          <t>No empezada</t>
        </is>
      </c>
      <c r="J42" t="inlineStr">
        <is>
          <t>Pendiente</t>
        </is>
      </c>
      <c r="K42"/>
      <c r="L42"/>
      <c r="M42"/>
      <c r="N42">
        <f>IF(AND(ISNUMBER(L42),ISNUMBER(M42)),L42*M42/100,"")</f>
      </c>
      <c r="O42"/>
    </row>
    <row r="43">
      <c r="A43"/>
      <c r="B43"/>
      <c r="C43"/>
      <c r="D43"/>
      <c r="E43"/>
      <c r="F43"/>
      <c r="G43"/>
      <c r="H43"/>
      <c r="I43" t="inlineStr">
        <is>
          <t>No empezada</t>
        </is>
      </c>
      <c r="J43" t="inlineStr">
        <is>
          <t>Pendiente</t>
        </is>
      </c>
      <c r="K43"/>
      <c r="L43"/>
      <c r="M43"/>
      <c r="N43">
        <f>IF(AND(ISNUMBER(L43),ISNUMBER(M43)),L43*M43/100,"")</f>
      </c>
      <c r="O43"/>
    </row>
    <row r="44">
      <c r="A44"/>
      <c r="B44"/>
      <c r="C44"/>
      <c r="D44"/>
      <c r="E44"/>
      <c r="F44"/>
      <c r="G44"/>
      <c r="H44"/>
      <c r="I44" t="inlineStr">
        <is>
          <t>No empezada</t>
        </is>
      </c>
      <c r="J44" t="inlineStr">
        <is>
          <t>Pendiente</t>
        </is>
      </c>
      <c r="K44"/>
      <c r="L44"/>
      <c r="M44"/>
      <c r="N44">
        <f>IF(AND(ISNUMBER(L44),ISNUMBER(M44)),L44*M44/100,"")</f>
      </c>
      <c r="O44"/>
    </row>
    <row r="45">
      <c r="A45"/>
      <c r="B45"/>
      <c r="C45"/>
      <c r="D45"/>
      <c r="E45"/>
      <c r="F45"/>
      <c r="G45"/>
      <c r="H45"/>
      <c r="I45" t="inlineStr">
        <is>
          <t>No empezada</t>
        </is>
      </c>
      <c r="J45" t="inlineStr">
        <is>
          <t>Pendiente</t>
        </is>
      </c>
      <c r="K45"/>
      <c r="L45"/>
      <c r="M45"/>
      <c r="N45">
        <f>IF(AND(ISNUMBER(L45),ISNUMBER(M45)),L45*M45/100,"")</f>
      </c>
      <c r="O45"/>
    </row>
    <row r="46">
      <c r="A46"/>
      <c r="B46"/>
      <c r="C46"/>
      <c r="D46"/>
      <c r="E46"/>
      <c r="F46"/>
      <c r="G46"/>
      <c r="H46"/>
      <c r="I46" t="inlineStr">
        <is>
          <t>No empezada</t>
        </is>
      </c>
      <c r="J46" t="inlineStr">
        <is>
          <t>Pendiente</t>
        </is>
      </c>
      <c r="K46"/>
      <c r="L46"/>
      <c r="M46"/>
      <c r="N46">
        <f>IF(AND(ISNUMBER(L46),ISNUMBER(M46)),L46*M46/100,"")</f>
      </c>
      <c r="O46"/>
    </row>
    <row r="47">
      <c r="A47"/>
      <c r="B47"/>
      <c r="C47"/>
      <c r="D47"/>
      <c r="E47"/>
      <c r="F47"/>
      <c r="G47"/>
      <c r="H47"/>
      <c r="I47" t="inlineStr">
        <is>
          <t>No empezada</t>
        </is>
      </c>
      <c r="J47" t="inlineStr">
        <is>
          <t>Pendiente</t>
        </is>
      </c>
      <c r="K47"/>
      <c r="L47"/>
      <c r="M47"/>
      <c r="N47">
        <f>IF(AND(ISNUMBER(L47),ISNUMBER(M47)),L47*M47/100,"")</f>
      </c>
      <c r="O47"/>
    </row>
    <row r="48">
      <c r="A48"/>
      <c r="B48"/>
      <c r="C48"/>
      <c r="D48"/>
      <c r="E48"/>
      <c r="F48"/>
      <c r="G48"/>
      <c r="H48"/>
      <c r="I48" t="inlineStr">
        <is>
          <t>No empezada</t>
        </is>
      </c>
      <c r="J48" t="inlineStr">
        <is>
          <t>Pendiente</t>
        </is>
      </c>
      <c r="K48"/>
      <c r="L48"/>
      <c r="M48"/>
      <c r="N48">
        <f>IF(AND(ISNUMBER(L48),ISNUMBER(M48)),L48*M48/100,"")</f>
      </c>
      <c r="O48"/>
    </row>
    <row r="49">
      <c r="A49"/>
      <c r="B49"/>
      <c r="C49"/>
      <c r="D49"/>
      <c r="E49"/>
      <c r="F49"/>
      <c r="G49"/>
      <c r="H49"/>
      <c r="I49" t="inlineStr">
        <is>
          <t>No empezada</t>
        </is>
      </c>
      <c r="J49" t="inlineStr">
        <is>
          <t>Pendiente</t>
        </is>
      </c>
      <c r="K49"/>
      <c r="L49"/>
      <c r="M49"/>
      <c r="N49">
        <f>IF(AND(ISNUMBER(L49),ISNUMBER(M49)),L49*M49/100,"")</f>
      </c>
      <c r="O49"/>
    </row>
    <row r="50">
      <c r="A50"/>
      <c r="B50"/>
      <c r="C50"/>
      <c r="D50"/>
      <c r="E50"/>
      <c r="F50"/>
      <c r="G50"/>
      <c r="H50"/>
      <c r="I50" t="inlineStr">
        <is>
          <t>No empezada</t>
        </is>
      </c>
      <c r="J50" t="inlineStr">
        <is>
          <t>Pendiente</t>
        </is>
      </c>
      <c r="K50"/>
      <c r="L50"/>
      <c r="M50"/>
      <c r="N50">
        <f>IF(AND(ISNUMBER(L50),ISNUMBER(M50)),L50*M50/100,"")</f>
      </c>
      <c r="O50"/>
    </row>
    <row r="51">
      <c r="A51"/>
      <c r="B51"/>
      <c r="C51"/>
      <c r="D51"/>
      <c r="E51"/>
      <c r="F51"/>
      <c r="G51"/>
      <c r="H51"/>
      <c r="I51" t="inlineStr">
        <is>
          <t>No empezada</t>
        </is>
      </c>
      <c r="J51" t="inlineStr">
        <is>
          <t>Pendiente</t>
        </is>
      </c>
      <c r="K51"/>
      <c r="L51"/>
      <c r="M51"/>
      <c r="N51">
        <f>IF(AND(ISNUMBER(L51),ISNUMBER(M51)),L51*M51/100,"")</f>
      </c>
      <c r="O51"/>
    </row>
    <row r="52">
      <c r="A52"/>
      <c r="B52"/>
      <c r="C52"/>
      <c r="D52"/>
      <c r="E52"/>
      <c r="F52"/>
      <c r="G52"/>
      <c r="H52"/>
      <c r="I52" t="inlineStr">
        <is>
          <t>No empezada</t>
        </is>
      </c>
      <c r="J52" t="inlineStr">
        <is>
          <t>Pendiente</t>
        </is>
      </c>
      <c r="K52"/>
      <c r="L52"/>
      <c r="M52"/>
      <c r="N52">
        <f>IF(AND(ISNUMBER(L52),ISNUMBER(M52)),L52*M52/100,"")</f>
      </c>
      <c r="O52"/>
    </row>
    <row r="53">
      <c r="A53"/>
      <c r="B53"/>
      <c r="C53"/>
      <c r="D53"/>
      <c r="E53"/>
      <c r="F53"/>
      <c r="G53"/>
      <c r="H53"/>
      <c r="I53" t="inlineStr">
        <is>
          <t>No empezada</t>
        </is>
      </c>
      <c r="J53" t="inlineStr">
        <is>
          <t>Pendiente</t>
        </is>
      </c>
      <c r="K53"/>
      <c r="L53"/>
      <c r="M53"/>
      <c r="N53">
        <f>IF(AND(ISNUMBER(L53),ISNUMBER(M53)),L53*M53/100,"")</f>
      </c>
      <c r="O53"/>
    </row>
    <row r="54">
      <c r="A54"/>
      <c r="B54"/>
      <c r="C54"/>
      <c r="D54"/>
      <c r="E54"/>
      <c r="F54"/>
      <c r="G54"/>
      <c r="H54"/>
      <c r="I54" t="inlineStr">
        <is>
          <t>No empezada</t>
        </is>
      </c>
      <c r="J54" t="inlineStr">
        <is>
          <t>Pendiente</t>
        </is>
      </c>
      <c r="K54"/>
      <c r="L54"/>
      <c r="M54"/>
      <c r="N54">
        <f>IF(AND(ISNUMBER(L54),ISNUMBER(M54)),L54*M54/100,"")</f>
      </c>
      <c r="O54"/>
    </row>
    <row r="55">
      <c r="A55"/>
      <c r="B55"/>
      <c r="C55"/>
      <c r="D55"/>
      <c r="E55"/>
      <c r="F55"/>
      <c r="G55"/>
      <c r="H55"/>
      <c r="I55" t="inlineStr">
        <is>
          <t>No empezada</t>
        </is>
      </c>
      <c r="J55" t="inlineStr">
        <is>
          <t>Pendiente</t>
        </is>
      </c>
      <c r="K55"/>
      <c r="L55"/>
      <c r="M55"/>
      <c r="N55">
        <f>IF(AND(ISNUMBER(L55),ISNUMBER(M55)),L55*M55/100,"")</f>
      </c>
      <c r="O55"/>
    </row>
    <row r="56">
      <c r="A56"/>
      <c r="B56"/>
      <c r="C56"/>
      <c r="D56"/>
      <c r="E56"/>
      <c r="F56"/>
      <c r="G56"/>
      <c r="H56"/>
      <c r="I56" t="inlineStr">
        <is>
          <t>No empezada</t>
        </is>
      </c>
      <c r="J56" t="inlineStr">
        <is>
          <t>Pendiente</t>
        </is>
      </c>
      <c r="K56"/>
      <c r="L56"/>
      <c r="M56"/>
      <c r="N56">
        <f>IF(AND(ISNUMBER(L56),ISNUMBER(M56)),L56*M56/100,"")</f>
      </c>
      <c r="O56"/>
    </row>
    <row r="57">
      <c r="A57"/>
      <c r="B57"/>
      <c r="C57"/>
      <c r="D57"/>
      <c r="E57"/>
      <c r="F57"/>
      <c r="G57"/>
      <c r="H57"/>
      <c r="I57" t="inlineStr">
        <is>
          <t>No empezada</t>
        </is>
      </c>
      <c r="J57" t="inlineStr">
        <is>
          <t>Pendiente</t>
        </is>
      </c>
      <c r="K57"/>
      <c r="L57"/>
      <c r="M57"/>
      <c r="N57">
        <f>IF(AND(ISNUMBER(L57),ISNUMBER(M57)),L57*M57/100,"")</f>
      </c>
      <c r="O57"/>
    </row>
    <row r="58">
      <c r="A58"/>
      <c r="B58"/>
      <c r="C58"/>
      <c r="D58"/>
      <c r="E58"/>
      <c r="F58"/>
      <c r="G58"/>
      <c r="H58"/>
      <c r="I58" t="inlineStr">
        <is>
          <t>No empezada</t>
        </is>
      </c>
      <c r="J58" t="inlineStr">
        <is>
          <t>Pendiente</t>
        </is>
      </c>
      <c r="K58"/>
      <c r="L58"/>
      <c r="M58"/>
      <c r="N58">
        <f>IF(AND(ISNUMBER(L58),ISNUMBER(M58)),L58*M58/100,"")</f>
      </c>
      <c r="O58"/>
    </row>
    <row r="59">
      <c r="A59"/>
      <c r="B59"/>
      <c r="C59"/>
      <c r="D59"/>
      <c r="E59"/>
      <c r="F59"/>
      <c r="G59"/>
      <c r="H59"/>
      <c r="I59" t="inlineStr">
        <is>
          <t>No empezada</t>
        </is>
      </c>
      <c r="J59" t="inlineStr">
        <is>
          <t>Pendiente</t>
        </is>
      </c>
      <c r="K59"/>
      <c r="L59"/>
      <c r="M59"/>
      <c r="N59">
        <f>IF(AND(ISNUMBER(L59),ISNUMBER(M59)),L59*M59/100,"")</f>
      </c>
      <c r="O59"/>
    </row>
    <row r="60">
      <c r="A60"/>
      <c r="B60"/>
      <c r="C60"/>
      <c r="D60"/>
      <c r="E60"/>
      <c r="F60"/>
      <c r="G60"/>
      <c r="H60"/>
      <c r="I60" t="inlineStr">
        <is>
          <t>No empezada</t>
        </is>
      </c>
      <c r="J60" t="inlineStr">
        <is>
          <t>Pendiente</t>
        </is>
      </c>
      <c r="K60"/>
      <c r="L60"/>
      <c r="M60"/>
      <c r="N60">
        <f>IF(AND(ISNUMBER(L60),ISNUMBER(M60)),L60*M60/100,"")</f>
      </c>
      <c r="O60"/>
    </row>
    <row r="61">
      <c r="A61"/>
      <c r="B61"/>
      <c r="C61"/>
      <c r="D61"/>
      <c r="E61"/>
      <c r="F61"/>
      <c r="G61"/>
      <c r="H61"/>
      <c r="I61" t="inlineStr">
        <is>
          <t>No empezada</t>
        </is>
      </c>
      <c r="J61" t="inlineStr">
        <is>
          <t>Pendiente</t>
        </is>
      </c>
      <c r="K61"/>
      <c r="L61"/>
      <c r="M61"/>
      <c r="N61">
        <f>IF(AND(ISNUMBER(L61),ISNUMBER(M61)),L61*M61/100,"")</f>
      </c>
      <c r="O61"/>
    </row>
    <row r="62">
      <c r="A62"/>
      <c r="B62"/>
      <c r="C62"/>
      <c r="D62"/>
      <c r="E62"/>
      <c r="F62"/>
      <c r="G62"/>
      <c r="H62"/>
      <c r="I62" t="inlineStr">
        <is>
          <t>No empezada</t>
        </is>
      </c>
      <c r="J62" t="inlineStr">
        <is>
          <t>Pendiente</t>
        </is>
      </c>
      <c r="K62"/>
      <c r="L62"/>
      <c r="M62"/>
      <c r="N62">
        <f>IF(AND(ISNUMBER(L62),ISNUMBER(M62)),L62*M62/100,"")</f>
      </c>
      <c r="O62"/>
    </row>
    <row r="63">
      <c r="A63"/>
      <c r="B63"/>
      <c r="C63"/>
      <c r="D63"/>
      <c r="E63"/>
      <c r="F63"/>
      <c r="G63"/>
      <c r="H63"/>
      <c r="I63" t="inlineStr">
        <is>
          <t>No empezada</t>
        </is>
      </c>
      <c r="J63" t="inlineStr">
        <is>
          <t>Pendiente</t>
        </is>
      </c>
      <c r="K63"/>
      <c r="L63"/>
      <c r="M63"/>
      <c r="N63">
        <f>IF(AND(ISNUMBER(L63),ISNUMBER(M63)),L63*M63/100,"")</f>
      </c>
      <c r="O63"/>
    </row>
    <row r="64">
      <c r="A64"/>
      <c r="B64"/>
      <c r="C64"/>
      <c r="D64"/>
      <c r="E64"/>
      <c r="F64"/>
      <c r="G64"/>
      <c r="H64"/>
      <c r="I64" t="inlineStr">
        <is>
          <t>No empezada</t>
        </is>
      </c>
      <c r="J64" t="inlineStr">
        <is>
          <t>Pendiente</t>
        </is>
      </c>
      <c r="K64"/>
      <c r="L64"/>
      <c r="M64"/>
      <c r="N64">
        <f>IF(AND(ISNUMBER(L64),ISNUMBER(M64)),L64*M64/100,"")</f>
      </c>
      <c r="O64"/>
    </row>
    <row r="65">
      <c r="A65"/>
      <c r="B65"/>
      <c r="C65"/>
      <c r="D65"/>
      <c r="E65"/>
      <c r="F65"/>
      <c r="G65"/>
      <c r="H65"/>
      <c r="I65" t="inlineStr">
        <is>
          <t>No empezada</t>
        </is>
      </c>
      <c r="J65" t="inlineStr">
        <is>
          <t>Pendiente</t>
        </is>
      </c>
      <c r="K65"/>
      <c r="L65"/>
      <c r="M65"/>
      <c r="N65">
        <f>IF(AND(ISNUMBER(L65),ISNUMBER(M65)),L65*M65/100,"")</f>
      </c>
      <c r="O65"/>
    </row>
    <row r="66">
      <c r="A66"/>
      <c r="B66"/>
      <c r="C66"/>
      <c r="D66"/>
      <c r="E66"/>
      <c r="F66"/>
      <c r="G66"/>
      <c r="H66"/>
      <c r="I66" t="inlineStr">
        <is>
          <t>No empezada</t>
        </is>
      </c>
      <c r="J66" t="inlineStr">
        <is>
          <t>Pendiente</t>
        </is>
      </c>
      <c r="K66"/>
      <c r="L66"/>
      <c r="M66"/>
      <c r="N66">
        <f>IF(AND(ISNUMBER(L66),ISNUMBER(M66)),L66*M66/100,"")</f>
      </c>
      <c r="O66"/>
    </row>
    <row r="67">
      <c r="A67"/>
      <c r="B67"/>
      <c r="C67"/>
      <c r="D67"/>
      <c r="E67"/>
      <c r="F67"/>
      <c r="G67"/>
      <c r="H67"/>
      <c r="I67" t="inlineStr">
        <is>
          <t>No empezada</t>
        </is>
      </c>
      <c r="J67" t="inlineStr">
        <is>
          <t>Pendiente</t>
        </is>
      </c>
      <c r="K67"/>
      <c r="L67"/>
      <c r="M67"/>
      <c r="N67">
        <f>IF(AND(ISNUMBER(L67),ISNUMBER(M67)),L67*M67/100,"")</f>
      </c>
      <c r="O67"/>
    </row>
    <row r="68">
      <c r="A68"/>
      <c r="B68"/>
      <c r="C68"/>
      <c r="D68"/>
      <c r="E68"/>
      <c r="F68"/>
      <c r="G68"/>
      <c r="H68"/>
      <c r="I68" t="inlineStr">
        <is>
          <t>No empezada</t>
        </is>
      </c>
      <c r="J68" t="inlineStr">
        <is>
          <t>Pendiente</t>
        </is>
      </c>
      <c r="K68"/>
      <c r="L68"/>
      <c r="M68"/>
      <c r="N68">
        <f>IF(AND(ISNUMBER(L68),ISNUMBER(M68)),L68*M68/100,"")</f>
      </c>
      <c r="O68"/>
    </row>
    <row r="69">
      <c r="A69"/>
      <c r="B69"/>
      <c r="C69"/>
      <c r="D69"/>
      <c r="E69"/>
      <c r="F69"/>
      <c r="G69"/>
      <c r="H69"/>
      <c r="I69" t="inlineStr">
        <is>
          <t>No empezada</t>
        </is>
      </c>
      <c r="J69" t="inlineStr">
        <is>
          <t>Pendiente</t>
        </is>
      </c>
      <c r="K69"/>
      <c r="L69"/>
      <c r="M69"/>
      <c r="N69">
        <f>IF(AND(ISNUMBER(L69),ISNUMBER(M69)),L69*M69/100,"")</f>
      </c>
      <c r="O69"/>
    </row>
    <row r="70">
      <c r="A70"/>
      <c r="B70"/>
      <c r="C70"/>
      <c r="D70"/>
      <c r="E70"/>
      <c r="F70"/>
      <c r="G70"/>
      <c r="H70"/>
      <c r="I70" t="inlineStr">
        <is>
          <t>No empezada</t>
        </is>
      </c>
      <c r="J70" t="inlineStr">
        <is>
          <t>Pendiente</t>
        </is>
      </c>
      <c r="K70"/>
      <c r="L70"/>
      <c r="M70"/>
      <c r="N70">
        <f>IF(AND(ISNUMBER(L70),ISNUMBER(M70)),L70*M70/100,"")</f>
      </c>
      <c r="O70"/>
    </row>
    <row r="71">
      <c r="A71"/>
      <c r="B71"/>
      <c r="C71"/>
      <c r="D71"/>
      <c r="E71"/>
      <c r="F71"/>
      <c r="G71"/>
      <c r="H71"/>
      <c r="I71" t="inlineStr">
        <is>
          <t>No empezada</t>
        </is>
      </c>
      <c r="J71" t="inlineStr">
        <is>
          <t>Pendiente</t>
        </is>
      </c>
      <c r="K71"/>
      <c r="L71"/>
      <c r="M71"/>
      <c r="N71">
        <f>IF(AND(ISNUMBER(L71),ISNUMBER(M71)),L71*M71/100,"")</f>
      </c>
      <c r="O71"/>
    </row>
    <row r="72">
      <c r="A72"/>
      <c r="B72"/>
      <c r="C72"/>
      <c r="D72"/>
      <c r="E72"/>
      <c r="F72"/>
      <c r="G72"/>
      <c r="H72"/>
      <c r="I72" t="inlineStr">
        <is>
          <t>No empezada</t>
        </is>
      </c>
      <c r="J72" t="inlineStr">
        <is>
          <t>Pendiente</t>
        </is>
      </c>
      <c r="K72"/>
      <c r="L72"/>
      <c r="M72"/>
      <c r="N72">
        <f>IF(AND(ISNUMBER(L72),ISNUMBER(M72)),L72*M72/100,"")</f>
      </c>
      <c r="O72"/>
    </row>
    <row r="73">
      <c r="A73"/>
      <c r="B73"/>
      <c r="C73"/>
      <c r="D73"/>
      <c r="E73"/>
      <c r="F73"/>
      <c r="G73"/>
      <c r="H73"/>
      <c r="I73" t="inlineStr">
        <is>
          <t>No empezada</t>
        </is>
      </c>
      <c r="J73" t="inlineStr">
        <is>
          <t>Pendiente</t>
        </is>
      </c>
      <c r="K73"/>
      <c r="L73"/>
      <c r="M73"/>
      <c r="N73">
        <f>IF(AND(ISNUMBER(L73),ISNUMBER(M73)),L73*M73/100,"")</f>
      </c>
      <c r="O73"/>
    </row>
    <row r="74">
      <c r="A74"/>
      <c r="B74"/>
      <c r="C74"/>
      <c r="D74"/>
      <c r="E74"/>
      <c r="F74"/>
      <c r="G74"/>
      <c r="H74"/>
      <c r="I74" t="inlineStr">
        <is>
          <t>No empezada</t>
        </is>
      </c>
      <c r="J74" t="inlineStr">
        <is>
          <t>Pendiente</t>
        </is>
      </c>
      <c r="K74"/>
      <c r="L74"/>
      <c r="M74"/>
      <c r="N74">
        <f>IF(AND(ISNUMBER(L74),ISNUMBER(M74)),L74*M74/100,"")</f>
      </c>
      <c r="O74"/>
    </row>
    <row r="75">
      <c r="A75"/>
      <c r="B75"/>
      <c r="C75"/>
      <c r="D75"/>
      <c r="E75"/>
      <c r="F75"/>
      <c r="G75"/>
      <c r="H75"/>
      <c r="I75" t="inlineStr">
        <is>
          <t>No empezada</t>
        </is>
      </c>
      <c r="J75" t="inlineStr">
        <is>
          <t>Pendiente</t>
        </is>
      </c>
      <c r="K75"/>
      <c r="L75"/>
      <c r="M75"/>
      <c r="N75">
        <f>IF(AND(ISNUMBER(L75),ISNUMBER(M75)),L75*M75/100,"")</f>
      </c>
      <c r="O75"/>
    </row>
    <row r="76">
      <c r="A76"/>
      <c r="B76"/>
      <c r="C76"/>
      <c r="D76"/>
      <c r="E76"/>
      <c r="F76"/>
      <c r="G76"/>
      <c r="H76"/>
      <c r="I76" t="inlineStr">
        <is>
          <t>No empezada</t>
        </is>
      </c>
      <c r="J76" t="inlineStr">
        <is>
          <t>Pendiente</t>
        </is>
      </c>
      <c r="K76"/>
      <c r="L76"/>
      <c r="M76"/>
      <c r="N76">
        <f>IF(AND(ISNUMBER(L76),ISNUMBER(M76)),L76*M76/100,"")</f>
      </c>
      <c r="O76"/>
    </row>
    <row r="77">
      <c r="A77"/>
      <c r="B77"/>
      <c r="C77"/>
      <c r="D77"/>
      <c r="E77"/>
      <c r="F77"/>
      <c r="G77"/>
      <c r="H77"/>
      <c r="I77" t="inlineStr">
        <is>
          <t>No empezada</t>
        </is>
      </c>
      <c r="J77" t="inlineStr">
        <is>
          <t>Pendiente</t>
        </is>
      </c>
      <c r="K77"/>
      <c r="L77"/>
      <c r="M77"/>
      <c r="N77">
        <f>IF(AND(ISNUMBER(L77),ISNUMBER(M77)),L77*M77/100,"")</f>
      </c>
      <c r="O77"/>
    </row>
    <row r="78">
      <c r="A78"/>
      <c r="B78"/>
      <c r="C78"/>
      <c r="D78"/>
      <c r="E78"/>
      <c r="F78"/>
      <c r="G78"/>
      <c r="H78"/>
      <c r="I78" t="inlineStr">
        <is>
          <t>No empezada</t>
        </is>
      </c>
      <c r="J78" t="inlineStr">
        <is>
          <t>Pendiente</t>
        </is>
      </c>
      <c r="K78"/>
      <c r="L78"/>
      <c r="M78"/>
      <c r="N78">
        <f>IF(AND(ISNUMBER(L78),ISNUMBER(M78)),L78*M78/100,"")</f>
      </c>
      <c r="O78"/>
    </row>
    <row r="79">
      <c r="A79"/>
      <c r="B79"/>
      <c r="C79"/>
      <c r="D79"/>
      <c r="E79"/>
      <c r="F79"/>
      <c r="G79"/>
      <c r="H79"/>
      <c r="I79" t="inlineStr">
        <is>
          <t>No empezada</t>
        </is>
      </c>
      <c r="J79" t="inlineStr">
        <is>
          <t>Pendiente</t>
        </is>
      </c>
      <c r="K79"/>
      <c r="L79"/>
      <c r="M79"/>
      <c r="N79">
        <f>IF(AND(ISNUMBER(L79),ISNUMBER(M79)),L79*M79/100,"")</f>
      </c>
      <c r="O79"/>
    </row>
    <row r="80">
      <c r="A80"/>
      <c r="B80"/>
      <c r="C80"/>
      <c r="D80"/>
      <c r="E80"/>
      <c r="F80"/>
      <c r="G80"/>
      <c r="H80"/>
      <c r="I80" t="inlineStr">
        <is>
          <t>No empezada</t>
        </is>
      </c>
      <c r="J80" t="inlineStr">
        <is>
          <t>Pendiente</t>
        </is>
      </c>
      <c r="K80"/>
      <c r="L80"/>
      <c r="M80"/>
      <c r="N80">
        <f>IF(AND(ISNUMBER(L80),ISNUMBER(M80)),L80*M80/100,"")</f>
      </c>
      <c r="O80"/>
    </row>
    <row r="81">
      <c r="A81"/>
      <c r="B81"/>
      <c r="C81"/>
      <c r="D81"/>
      <c r="E81"/>
      <c r="F81"/>
      <c r="G81"/>
      <c r="H81"/>
      <c r="I81" t="inlineStr">
        <is>
          <t>No empezada</t>
        </is>
      </c>
      <c r="J81" t="inlineStr">
        <is>
          <t>Pendiente</t>
        </is>
      </c>
      <c r="K81"/>
      <c r="L81"/>
      <c r="M81"/>
      <c r="N81">
        <f>IF(AND(ISNUMBER(L81),ISNUMBER(M81)),L81*M81/100,"")</f>
      </c>
      <c r="O81"/>
    </row>
    <row r="82">
      <c r="A82"/>
      <c r="B82"/>
      <c r="C82"/>
      <c r="D82"/>
      <c r="E82"/>
      <c r="F82"/>
      <c r="G82"/>
      <c r="H82"/>
      <c r="I82" t="inlineStr">
        <is>
          <t>No empezada</t>
        </is>
      </c>
      <c r="J82" t="inlineStr">
        <is>
          <t>Pendiente</t>
        </is>
      </c>
      <c r="K82"/>
      <c r="L82"/>
      <c r="M82"/>
      <c r="N82">
        <f>IF(AND(ISNUMBER(L82),ISNUMBER(M82)),L82*M82/100,"")</f>
      </c>
      <c r="O82"/>
    </row>
    <row r="83">
      <c r="A83"/>
      <c r="B83"/>
      <c r="C83"/>
      <c r="D83"/>
      <c r="E83"/>
      <c r="F83"/>
      <c r="G83"/>
      <c r="H83"/>
      <c r="I83" t="inlineStr">
        <is>
          <t>No empezada</t>
        </is>
      </c>
      <c r="J83" t="inlineStr">
        <is>
          <t>Pendiente</t>
        </is>
      </c>
      <c r="K83"/>
      <c r="L83"/>
      <c r="M83"/>
      <c r="N83">
        <f>IF(AND(ISNUMBER(L83),ISNUMBER(M83)),L83*M83/100,"")</f>
      </c>
      <c r="O83"/>
    </row>
    <row r="84">
      <c r="A84"/>
      <c r="B84"/>
      <c r="C84"/>
      <c r="D84"/>
      <c r="E84"/>
      <c r="F84"/>
      <c r="G84"/>
      <c r="H84"/>
      <c r="I84" t="inlineStr">
        <is>
          <t>No empezada</t>
        </is>
      </c>
      <c r="J84" t="inlineStr">
        <is>
          <t>Pendiente</t>
        </is>
      </c>
      <c r="K84"/>
      <c r="L84"/>
      <c r="M84"/>
      <c r="N84">
        <f>IF(AND(ISNUMBER(L84),ISNUMBER(M84)),L84*M84/100,"")</f>
      </c>
      <c r="O84"/>
    </row>
    <row r="85">
      <c r="A85"/>
      <c r="B85"/>
      <c r="C85"/>
      <c r="D85"/>
      <c r="E85"/>
      <c r="F85"/>
      <c r="G85"/>
      <c r="H85"/>
      <c r="I85" t="inlineStr">
        <is>
          <t>No empezada</t>
        </is>
      </c>
      <c r="J85" t="inlineStr">
        <is>
          <t>Pendiente</t>
        </is>
      </c>
      <c r="K85"/>
      <c r="L85"/>
      <c r="M85"/>
      <c r="N85">
        <f>IF(AND(ISNUMBER(L85),ISNUMBER(M85)),L85*M85/100,"")</f>
      </c>
      <c r="O85"/>
    </row>
    <row r="86">
      <c r="A86"/>
      <c r="B86"/>
      <c r="C86"/>
      <c r="D86"/>
      <c r="E86"/>
      <c r="F86"/>
      <c r="G86"/>
      <c r="H86"/>
      <c r="I86" t="inlineStr">
        <is>
          <t>No empezada</t>
        </is>
      </c>
      <c r="J86" t="inlineStr">
        <is>
          <t>Pendiente</t>
        </is>
      </c>
      <c r="K86"/>
      <c r="L86"/>
      <c r="M86"/>
      <c r="N86">
        <f>IF(AND(ISNUMBER(L86),ISNUMBER(M86)),L86*M86/100,"")</f>
      </c>
      <c r="O86"/>
    </row>
    <row r="87">
      <c r="A87"/>
      <c r="B87"/>
      <c r="C87"/>
      <c r="D87"/>
      <c r="E87"/>
      <c r="F87"/>
      <c r="G87"/>
      <c r="H87"/>
      <c r="I87" t="inlineStr">
        <is>
          <t>No empezada</t>
        </is>
      </c>
      <c r="J87" t="inlineStr">
        <is>
          <t>Pendiente</t>
        </is>
      </c>
      <c r="K87"/>
      <c r="L87"/>
      <c r="M87"/>
      <c r="N87">
        <f>IF(AND(ISNUMBER(L87),ISNUMBER(M87)),L87*M87/100,"")</f>
      </c>
      <c r="O87"/>
    </row>
    <row r="88">
      <c r="A88"/>
      <c r="B88"/>
      <c r="C88"/>
      <c r="D88"/>
      <c r="E88"/>
      <c r="F88"/>
      <c r="G88"/>
      <c r="H88"/>
      <c r="I88" t="inlineStr">
        <is>
          <t>No empezada</t>
        </is>
      </c>
      <c r="J88" t="inlineStr">
        <is>
          <t>Pendiente</t>
        </is>
      </c>
      <c r="K88"/>
      <c r="L88"/>
      <c r="M88"/>
      <c r="N88">
        <f>IF(AND(ISNUMBER(L88),ISNUMBER(M88)),L88*M88/100,"")</f>
      </c>
      <c r="O88"/>
    </row>
    <row r="89">
      <c r="A89"/>
      <c r="B89"/>
      <c r="C89"/>
      <c r="D89"/>
      <c r="E89"/>
      <c r="F89"/>
      <c r="G89"/>
      <c r="H89"/>
      <c r="I89" t="inlineStr">
        <is>
          <t>No empezada</t>
        </is>
      </c>
      <c r="J89" t="inlineStr">
        <is>
          <t>Pendiente</t>
        </is>
      </c>
      <c r="K89"/>
      <c r="L89"/>
      <c r="M89"/>
      <c r="N89">
        <f>IF(AND(ISNUMBER(L89),ISNUMBER(M89)),L89*M89/100,"")</f>
      </c>
      <c r="O89"/>
    </row>
    <row r="90">
      <c r="A90"/>
      <c r="B90"/>
      <c r="C90"/>
      <c r="D90"/>
      <c r="E90"/>
      <c r="F90"/>
      <c r="G90"/>
      <c r="H90"/>
      <c r="I90" t="inlineStr">
        <is>
          <t>No empezada</t>
        </is>
      </c>
      <c r="J90" t="inlineStr">
        <is>
          <t>Pendiente</t>
        </is>
      </c>
      <c r="K90"/>
      <c r="L90"/>
      <c r="M90"/>
      <c r="N90">
        <f>IF(AND(ISNUMBER(L90),ISNUMBER(M90)),L90*M90/100,"")</f>
      </c>
      <c r="O90"/>
    </row>
    <row r="91">
      <c r="A91"/>
      <c r="B91"/>
      <c r="C91"/>
      <c r="D91"/>
      <c r="E91"/>
      <c r="F91"/>
      <c r="G91"/>
      <c r="H91"/>
      <c r="I91" t="inlineStr">
        <is>
          <t>No empezada</t>
        </is>
      </c>
      <c r="J91" t="inlineStr">
        <is>
          <t>Pendiente</t>
        </is>
      </c>
      <c r="K91"/>
      <c r="L91"/>
      <c r="M91"/>
      <c r="N91">
        <f>IF(AND(ISNUMBER(L91),ISNUMBER(M91)),L91*M91/100,"")</f>
      </c>
      <c r="O91"/>
    </row>
    <row r="92">
      <c r="A92"/>
      <c r="B92"/>
      <c r="C92"/>
      <c r="D92"/>
      <c r="E92"/>
      <c r="F92"/>
      <c r="G92"/>
      <c r="H92"/>
      <c r="I92" t="inlineStr">
        <is>
          <t>No empezada</t>
        </is>
      </c>
      <c r="J92" t="inlineStr">
        <is>
          <t>Pendiente</t>
        </is>
      </c>
      <c r="K92"/>
      <c r="L92"/>
      <c r="M92"/>
      <c r="N92">
        <f>IF(AND(ISNUMBER(L92),ISNUMBER(M92)),L92*M92/100,"")</f>
      </c>
      <c r="O92"/>
    </row>
    <row r="93">
      <c r="A93"/>
      <c r="B93"/>
      <c r="C93"/>
      <c r="D93"/>
      <c r="E93"/>
      <c r="F93"/>
      <c r="G93"/>
      <c r="H93"/>
      <c r="I93" t="inlineStr">
        <is>
          <t>No empezada</t>
        </is>
      </c>
      <c r="J93" t="inlineStr">
        <is>
          <t>Pendiente</t>
        </is>
      </c>
      <c r="K93"/>
      <c r="L93"/>
      <c r="M93"/>
      <c r="N93">
        <f>IF(AND(ISNUMBER(L93),ISNUMBER(M93)),L93*M93/100,"")</f>
      </c>
      <c r="O93"/>
    </row>
    <row r="94">
      <c r="A94"/>
      <c r="B94"/>
      <c r="C94"/>
      <c r="D94"/>
      <c r="E94"/>
      <c r="F94"/>
      <c r="G94"/>
      <c r="H94"/>
      <c r="I94" t="inlineStr">
        <is>
          <t>No empezada</t>
        </is>
      </c>
      <c r="J94" t="inlineStr">
        <is>
          <t>Pendiente</t>
        </is>
      </c>
      <c r="K94"/>
      <c r="L94"/>
      <c r="M94"/>
      <c r="N94">
        <f>IF(AND(ISNUMBER(L94),ISNUMBER(M94)),L94*M94/100,"")</f>
      </c>
      <c r="O94"/>
    </row>
    <row r="95">
      <c r="A95"/>
      <c r="B95"/>
      <c r="C95"/>
      <c r="D95"/>
      <c r="E95"/>
      <c r="F95"/>
      <c r="G95"/>
      <c r="H95"/>
      <c r="I95" t="inlineStr">
        <is>
          <t>No empezada</t>
        </is>
      </c>
      <c r="J95" t="inlineStr">
        <is>
          <t>Pendiente</t>
        </is>
      </c>
      <c r="K95"/>
      <c r="L95"/>
      <c r="M95"/>
      <c r="N95">
        <f>IF(AND(ISNUMBER(L95),ISNUMBER(M95)),L95*M95/100,"")</f>
      </c>
      <c r="O95"/>
    </row>
    <row r="96">
      <c r="A96"/>
      <c r="B96"/>
      <c r="C96"/>
      <c r="D96"/>
      <c r="E96"/>
      <c r="F96"/>
      <c r="G96"/>
      <c r="H96"/>
      <c r="I96" t="inlineStr">
        <is>
          <t>No empezada</t>
        </is>
      </c>
      <c r="J96" t="inlineStr">
        <is>
          <t>Pendiente</t>
        </is>
      </c>
      <c r="K96"/>
      <c r="L96"/>
      <c r="M96"/>
      <c r="N96">
        <f>IF(AND(ISNUMBER(L96),ISNUMBER(M96)),L96*M96/100,"")</f>
      </c>
      <c r="O96"/>
    </row>
    <row r="97">
      <c r="A97"/>
      <c r="B97"/>
      <c r="C97"/>
      <c r="D97"/>
      <c r="E97"/>
      <c r="F97"/>
      <c r="G97"/>
      <c r="H97"/>
      <c r="I97" t="inlineStr">
        <is>
          <t>No empezada</t>
        </is>
      </c>
      <c r="J97" t="inlineStr">
        <is>
          <t>Pendiente</t>
        </is>
      </c>
      <c r="K97"/>
      <c r="L97"/>
      <c r="M97"/>
      <c r="N97">
        <f>IF(AND(ISNUMBER(L97),ISNUMBER(M97)),L97*M97/100,"")</f>
      </c>
      <c r="O97"/>
    </row>
    <row r="98">
      <c r="A98"/>
      <c r="B98"/>
      <c r="C98"/>
      <c r="D98"/>
      <c r="E98"/>
      <c r="F98"/>
      <c r="G98"/>
      <c r="H98"/>
      <c r="I98" t="inlineStr">
        <is>
          <t>No empezada</t>
        </is>
      </c>
      <c r="J98" t="inlineStr">
        <is>
          <t>Pendiente</t>
        </is>
      </c>
      <c r="K98"/>
      <c r="L98"/>
      <c r="M98"/>
      <c r="N98">
        <f>IF(AND(ISNUMBER(L98),ISNUMBER(M98)),L98*M98/100,"")</f>
      </c>
      <c r="O98"/>
    </row>
    <row r="99">
      <c r="A99"/>
      <c r="B99"/>
      <c r="C99"/>
      <c r="D99"/>
      <c r="E99"/>
      <c r="F99"/>
      <c r="G99"/>
      <c r="H99"/>
      <c r="I99" t="inlineStr">
        <is>
          <t>No empezada</t>
        </is>
      </c>
      <c r="J99" t="inlineStr">
        <is>
          <t>Pendiente</t>
        </is>
      </c>
      <c r="K99"/>
      <c r="L99"/>
      <c r="M99"/>
      <c r="N99">
        <f>IF(AND(ISNUMBER(L99),ISNUMBER(M99)),L99*M99/100,"")</f>
      </c>
      <c r="O99"/>
    </row>
    <row r="100">
      <c r="A100"/>
      <c r="B100"/>
      <c r="C100"/>
      <c r="D100"/>
      <c r="E100"/>
      <c r="F100"/>
      <c r="G100"/>
      <c r="H100"/>
      <c r="I100" t="inlineStr">
        <is>
          <t>No empezada</t>
        </is>
      </c>
      <c r="J100" t="inlineStr">
        <is>
          <t>Pendiente</t>
        </is>
      </c>
      <c r="K100"/>
      <c r="L100"/>
      <c r="M100"/>
      <c r="N100">
        <f>IF(AND(ISNUMBER(L100),ISNUMBER(M100)),L100*M100/100,"")</f>
      </c>
      <c r="O100"/>
    </row>
    <row r="101">
      <c r="A101"/>
      <c r="B101"/>
      <c r="C101"/>
      <c r="D101"/>
      <c r="E101"/>
      <c r="F101"/>
      <c r="G101"/>
      <c r="H101"/>
      <c r="I101" t="inlineStr">
        <is>
          <t>No empezada</t>
        </is>
      </c>
      <c r="J101" t="inlineStr">
        <is>
          <t>Pendiente</t>
        </is>
      </c>
      <c r="K101"/>
      <c r="L101"/>
      <c r="M101"/>
      <c r="N101">
        <f>IF(AND(ISNUMBER(L101),ISNUMBER(M101)),L101*M101/100,"")</f>
      </c>
      <c r="O101"/>
    </row>
    <row r="102">
      <c r="A102"/>
      <c r="B102"/>
      <c r="C102"/>
      <c r="D102"/>
      <c r="E102"/>
      <c r="F102"/>
      <c r="G102"/>
      <c r="H102"/>
      <c r="I102" t="inlineStr">
        <is>
          <t>No empezada</t>
        </is>
      </c>
      <c r="J102" t="inlineStr">
        <is>
          <t>Pendiente</t>
        </is>
      </c>
      <c r="K102"/>
      <c r="L102"/>
      <c r="M102"/>
      <c r="N102">
        <f>IF(AND(ISNUMBER(L102),ISNUMBER(M102)),L102*M102/100,"")</f>
      </c>
      <c r="O102"/>
    </row>
    <row r="103">
      <c r="A103"/>
      <c r="B103"/>
      <c r="C103"/>
      <c r="D103"/>
      <c r="E103"/>
      <c r="F103"/>
      <c r="G103"/>
      <c r="H103"/>
      <c r="I103" t="inlineStr">
        <is>
          <t>No empezada</t>
        </is>
      </c>
      <c r="J103" t="inlineStr">
        <is>
          <t>Pendiente</t>
        </is>
      </c>
      <c r="K103"/>
      <c r="L103"/>
      <c r="M103"/>
      <c r="N103">
        <f>IF(AND(ISNUMBER(L103),ISNUMBER(M103)),L103*M103/100,"")</f>
      </c>
      <c r="O103"/>
    </row>
    <row r="104">
      <c r="A104"/>
      <c r="B104"/>
      <c r="C104"/>
      <c r="D104"/>
      <c r="E104"/>
      <c r="F104"/>
      <c r="G104"/>
      <c r="H104"/>
      <c r="I104" t="inlineStr">
        <is>
          <t>No empezada</t>
        </is>
      </c>
      <c r="J104" t="inlineStr">
        <is>
          <t>Pendiente</t>
        </is>
      </c>
      <c r="K104"/>
      <c r="L104"/>
      <c r="M104"/>
      <c r="N104">
        <f>IF(AND(ISNUMBER(L104),ISNUMBER(M104)),L104*M104/100,"")</f>
      </c>
      <c r="O104"/>
    </row>
    <row r="105">
      <c r="A105"/>
      <c r="B105"/>
      <c r="C105"/>
      <c r="D105"/>
      <c r="E105"/>
      <c r="F105"/>
      <c r="G105"/>
      <c r="H105"/>
      <c r="I105" t="inlineStr">
        <is>
          <t>No empezada</t>
        </is>
      </c>
      <c r="J105" t="inlineStr">
        <is>
          <t>Pendiente</t>
        </is>
      </c>
      <c r="K105"/>
      <c r="L105"/>
      <c r="M105"/>
      <c r="N105">
        <f>IF(AND(ISNUMBER(L105),ISNUMBER(M105)),L105*M105/100,"")</f>
      </c>
      <c r="O105"/>
    </row>
    <row r="106">
      <c r="A106"/>
      <c r="B106"/>
      <c r="C106"/>
      <c r="D106"/>
      <c r="E106"/>
      <c r="F106"/>
      <c r="G106"/>
      <c r="H106"/>
      <c r="I106" t="inlineStr">
        <is>
          <t>No empezada</t>
        </is>
      </c>
      <c r="J106" t="inlineStr">
        <is>
          <t>Pendiente</t>
        </is>
      </c>
      <c r="K106"/>
      <c r="L106"/>
      <c r="M106"/>
      <c r="N106">
        <f>IF(AND(ISNUMBER(L106),ISNUMBER(M106)),L106*M106/100,"")</f>
      </c>
      <c r="O106"/>
    </row>
    <row r="107">
      <c r="A107"/>
      <c r="B107"/>
      <c r="C107"/>
      <c r="D107"/>
      <c r="E107"/>
      <c r="F107"/>
      <c r="G107"/>
      <c r="H107"/>
      <c r="I107" t="inlineStr">
        <is>
          <t>No empezada</t>
        </is>
      </c>
      <c r="J107" t="inlineStr">
        <is>
          <t>Pendiente</t>
        </is>
      </c>
      <c r="K107"/>
      <c r="L107"/>
      <c r="M107"/>
      <c r="N107">
        <f>IF(AND(ISNUMBER(L107),ISNUMBER(M107)),L107*M107/100,"")</f>
      </c>
      <c r="O107"/>
    </row>
    <row r="108">
      <c r="A108"/>
      <c r="B108"/>
      <c r="C108"/>
      <c r="D108"/>
      <c r="E108"/>
      <c r="F108"/>
      <c r="G108"/>
      <c r="H108"/>
      <c r="I108" t="inlineStr">
        <is>
          <t>No empezada</t>
        </is>
      </c>
      <c r="J108" t="inlineStr">
        <is>
          <t>Pendiente</t>
        </is>
      </c>
      <c r="K108"/>
      <c r="L108"/>
      <c r="M108"/>
      <c r="N108">
        <f>IF(AND(ISNUMBER(L108),ISNUMBER(M108)),L108*M108/100,"")</f>
      </c>
      <c r="O108"/>
    </row>
    <row r="109">
      <c r="A109"/>
      <c r="B109"/>
      <c r="C109"/>
      <c r="D109"/>
      <c r="E109"/>
      <c r="F109"/>
      <c r="G109"/>
      <c r="H109"/>
      <c r="I109" t="inlineStr">
        <is>
          <t>No empezada</t>
        </is>
      </c>
      <c r="J109" t="inlineStr">
        <is>
          <t>Pendiente</t>
        </is>
      </c>
      <c r="K109"/>
      <c r="L109"/>
      <c r="M109"/>
      <c r="N109">
        <f>IF(AND(ISNUMBER(L109),ISNUMBER(M109)),L109*M109/100,"")</f>
      </c>
      <c r="O109"/>
    </row>
    <row r="110">
      <c r="A110"/>
      <c r="B110"/>
      <c r="C110"/>
      <c r="D110"/>
      <c r="E110"/>
      <c r="F110"/>
      <c r="G110"/>
      <c r="H110"/>
      <c r="I110" t="inlineStr">
        <is>
          <t>No empezada</t>
        </is>
      </c>
      <c r="J110" t="inlineStr">
        <is>
          <t>Pendiente</t>
        </is>
      </c>
      <c r="K110"/>
      <c r="L110"/>
      <c r="M110"/>
      <c r="N110">
        <f>IF(AND(ISNUMBER(L110),ISNUMBER(M110)),L110*M110/100,"")</f>
      </c>
      <c r="O110"/>
    </row>
    <row r="111">
      <c r="A111"/>
      <c r="B111"/>
      <c r="C111"/>
      <c r="D111"/>
      <c r="E111"/>
      <c r="F111"/>
      <c r="G111"/>
      <c r="H111"/>
      <c r="I111" t="inlineStr">
        <is>
          <t>No empezada</t>
        </is>
      </c>
      <c r="J111" t="inlineStr">
        <is>
          <t>Pendiente</t>
        </is>
      </c>
      <c r="K111"/>
      <c r="L111"/>
      <c r="M111"/>
      <c r="N111">
        <f>IF(AND(ISNUMBER(L111),ISNUMBER(M111)),L111*M111/100,"")</f>
      </c>
      <c r="O111"/>
    </row>
    <row r="112">
      <c r="A112"/>
      <c r="B112"/>
      <c r="C112"/>
      <c r="D112"/>
      <c r="E112"/>
      <c r="F112"/>
      <c r="G112"/>
      <c r="H112"/>
      <c r="I112" t="inlineStr">
        <is>
          <t>No empezada</t>
        </is>
      </c>
      <c r="J112" t="inlineStr">
        <is>
          <t>Pendiente</t>
        </is>
      </c>
      <c r="K112"/>
      <c r="L112"/>
      <c r="M112"/>
      <c r="N112">
        <f>IF(AND(ISNUMBER(L112),ISNUMBER(M112)),L112*M112/100,"")</f>
      </c>
      <c r="O112"/>
    </row>
    <row r="113">
      <c r="A113"/>
      <c r="B113"/>
      <c r="C113"/>
      <c r="D113"/>
      <c r="E113"/>
      <c r="F113"/>
      <c r="G113"/>
      <c r="H113"/>
      <c r="I113" t="inlineStr">
        <is>
          <t>No empezada</t>
        </is>
      </c>
      <c r="J113" t="inlineStr">
        <is>
          <t>Pendiente</t>
        </is>
      </c>
      <c r="K113"/>
      <c r="L113"/>
      <c r="M113"/>
      <c r="N113">
        <f>IF(AND(ISNUMBER(L113),ISNUMBER(M113)),L113*M113/100,"")</f>
      </c>
      <c r="O113"/>
    </row>
    <row r="114">
      <c r="A114"/>
      <c r="B114"/>
      <c r="C114"/>
      <c r="D114"/>
      <c r="E114"/>
      <c r="F114"/>
      <c r="G114"/>
      <c r="H114"/>
      <c r="I114" t="inlineStr">
        <is>
          <t>No empezada</t>
        </is>
      </c>
      <c r="J114" t="inlineStr">
        <is>
          <t>Pendiente</t>
        </is>
      </c>
      <c r="K114"/>
      <c r="L114"/>
      <c r="M114"/>
      <c r="N114">
        <f>IF(AND(ISNUMBER(L114),ISNUMBER(M114)),L114*M114/100,"")</f>
      </c>
      <c r="O114"/>
    </row>
    <row r="115">
      <c r="A115"/>
      <c r="B115"/>
      <c r="C115"/>
      <c r="D115"/>
      <c r="E115"/>
      <c r="F115"/>
      <c r="G115"/>
      <c r="H115"/>
      <c r="I115" t="inlineStr">
        <is>
          <t>No empezada</t>
        </is>
      </c>
      <c r="J115" t="inlineStr">
        <is>
          <t>Pendiente</t>
        </is>
      </c>
      <c r="K115"/>
      <c r="L115"/>
      <c r="M115"/>
      <c r="N115">
        <f>IF(AND(ISNUMBER(L115),ISNUMBER(M115)),L115*M115/100,"")</f>
      </c>
      <c r="O115"/>
    </row>
    <row r="116">
      <c r="A116"/>
      <c r="B116"/>
      <c r="C116"/>
      <c r="D116"/>
      <c r="E116"/>
      <c r="F116"/>
      <c r="G116"/>
      <c r="H116"/>
      <c r="I116" t="inlineStr">
        <is>
          <t>No empezada</t>
        </is>
      </c>
      <c r="J116" t="inlineStr">
        <is>
          <t>Pendiente</t>
        </is>
      </c>
      <c r="K116"/>
      <c r="L116"/>
      <c r="M116"/>
      <c r="N116">
        <f>IF(AND(ISNUMBER(L116),ISNUMBER(M116)),L116*M116/100,"")</f>
      </c>
      <c r="O116"/>
    </row>
    <row r="117">
      <c r="A117"/>
      <c r="B117"/>
      <c r="C117"/>
      <c r="D117"/>
      <c r="E117"/>
      <c r="F117"/>
      <c r="G117"/>
      <c r="H117"/>
      <c r="I117" t="inlineStr">
        <is>
          <t>No empezada</t>
        </is>
      </c>
      <c r="J117" t="inlineStr">
        <is>
          <t>Pendiente</t>
        </is>
      </c>
      <c r="K117"/>
      <c r="L117"/>
      <c r="M117"/>
      <c r="N117">
        <f>IF(AND(ISNUMBER(L117),ISNUMBER(M117)),L117*M117/100,"")</f>
      </c>
      <c r="O117"/>
    </row>
    <row r="118">
      <c r="A118"/>
      <c r="B118"/>
      <c r="C118"/>
      <c r="D118"/>
      <c r="E118"/>
      <c r="F118"/>
      <c r="G118"/>
      <c r="H118"/>
      <c r="I118" t="inlineStr">
        <is>
          <t>No empezada</t>
        </is>
      </c>
      <c r="J118" t="inlineStr">
        <is>
          <t>Pendiente</t>
        </is>
      </c>
      <c r="K118"/>
      <c r="L118"/>
      <c r="M118"/>
      <c r="N118">
        <f>IF(AND(ISNUMBER(L118),ISNUMBER(M118)),L118*M118/100,"")</f>
      </c>
      <c r="O118"/>
    </row>
    <row r="119">
      <c r="A119"/>
      <c r="B119"/>
      <c r="C119"/>
      <c r="D119"/>
      <c r="E119"/>
      <c r="F119"/>
      <c r="G119"/>
      <c r="H119"/>
      <c r="I119" t="inlineStr">
        <is>
          <t>No empezada</t>
        </is>
      </c>
      <c r="J119" t="inlineStr">
        <is>
          <t>Pendiente</t>
        </is>
      </c>
      <c r="K119"/>
      <c r="L119"/>
      <c r="M119"/>
      <c r="N119">
        <f>IF(AND(ISNUMBER(L119),ISNUMBER(M119)),L119*M119/100,"")</f>
      </c>
      <c r="O119"/>
    </row>
    <row r="120">
      <c r="A120"/>
      <c r="B120"/>
      <c r="C120"/>
      <c r="D120"/>
      <c r="E120"/>
      <c r="F120"/>
      <c r="G120"/>
      <c r="H120"/>
      <c r="I120" t="inlineStr">
        <is>
          <t>No empezada</t>
        </is>
      </c>
      <c r="J120" t="inlineStr">
        <is>
          <t>Pendiente</t>
        </is>
      </c>
      <c r="K120"/>
      <c r="L120"/>
      <c r="M120"/>
      <c r="N120">
        <f>IF(AND(ISNUMBER(L120),ISNUMBER(M120)),L120*M120/100,"")</f>
      </c>
      <c r="O120"/>
    </row>
    <row r="121">
      <c r="A121"/>
      <c r="B121"/>
      <c r="C121"/>
      <c r="D121"/>
      <c r="E121"/>
      <c r="F121"/>
      <c r="G121"/>
      <c r="H121"/>
      <c r="I121" t="inlineStr">
        <is>
          <t>No empezada</t>
        </is>
      </c>
      <c r="J121" t="inlineStr">
        <is>
          <t>Pendiente</t>
        </is>
      </c>
      <c r="K121"/>
      <c r="L121"/>
      <c r="M121"/>
      <c r="N121">
        <f>IF(AND(ISNUMBER(L121),ISNUMBER(M121)),L121*M121/100,"")</f>
      </c>
      <c r="O121"/>
    </row>
    <row r="122">
      <c r="A122"/>
      <c r="B122"/>
      <c r="C122"/>
      <c r="D122"/>
      <c r="E122"/>
      <c r="F122"/>
      <c r="G122"/>
      <c r="H122"/>
      <c r="I122" t="inlineStr">
        <is>
          <t>No empezada</t>
        </is>
      </c>
      <c r="J122" t="inlineStr">
        <is>
          <t>Pendiente</t>
        </is>
      </c>
      <c r="K122"/>
      <c r="L122"/>
      <c r="M122"/>
      <c r="N122">
        <f>IF(AND(ISNUMBER(L122),ISNUMBER(M122)),L122*M122/100,"")</f>
      </c>
      <c r="O122"/>
    </row>
    <row r="123">
      <c r="A123"/>
      <c r="B123"/>
      <c r="C123"/>
      <c r="D123"/>
      <c r="E123"/>
      <c r="F123"/>
      <c r="G123"/>
      <c r="H123"/>
      <c r="I123" t="inlineStr">
        <is>
          <t>No empezada</t>
        </is>
      </c>
      <c r="J123" t="inlineStr">
        <is>
          <t>Pendiente</t>
        </is>
      </c>
      <c r="K123"/>
      <c r="L123"/>
      <c r="M123"/>
      <c r="N123">
        <f>IF(AND(ISNUMBER(L123),ISNUMBER(M123)),L123*M123/100,"")</f>
      </c>
      <c r="O123"/>
    </row>
    <row r="124">
      <c r="A124"/>
      <c r="B124"/>
      <c r="C124"/>
      <c r="D124"/>
      <c r="E124"/>
      <c r="F124"/>
      <c r="G124"/>
      <c r="H124"/>
      <c r="I124" t="inlineStr">
        <is>
          <t>No empezada</t>
        </is>
      </c>
      <c r="J124" t="inlineStr">
        <is>
          <t>Pendiente</t>
        </is>
      </c>
      <c r="K124"/>
      <c r="L124"/>
      <c r="M124"/>
      <c r="N124">
        <f>IF(AND(ISNUMBER(L124),ISNUMBER(M124)),L124*M124/100,"")</f>
      </c>
      <c r="O124"/>
    </row>
    <row r="125">
      <c r="A125"/>
      <c r="B125"/>
      <c r="C125"/>
      <c r="D125"/>
      <c r="E125"/>
      <c r="F125"/>
      <c r="G125"/>
      <c r="H125"/>
      <c r="I125" t="inlineStr">
        <is>
          <t>No empezada</t>
        </is>
      </c>
      <c r="J125" t="inlineStr">
        <is>
          <t>Pendiente</t>
        </is>
      </c>
      <c r="K125"/>
      <c r="L125"/>
      <c r="M125"/>
      <c r="N125">
        <f>IF(AND(ISNUMBER(L125),ISNUMBER(M125)),L125*M125/100,"")</f>
      </c>
      <c r="O125"/>
    </row>
    <row r="126">
      <c r="A126"/>
      <c r="B126"/>
      <c r="C126"/>
      <c r="D126"/>
      <c r="E126"/>
      <c r="F126"/>
      <c r="G126"/>
      <c r="H126"/>
      <c r="I126" t="inlineStr">
        <is>
          <t>No empezada</t>
        </is>
      </c>
      <c r="J126" t="inlineStr">
        <is>
          <t>Pendiente</t>
        </is>
      </c>
      <c r="K126"/>
      <c r="L126"/>
      <c r="M126"/>
      <c r="N126">
        <f>IF(AND(ISNUMBER(L126),ISNUMBER(M126)),L126*M126/100,"")</f>
      </c>
      <c r="O126"/>
    </row>
    <row r="127">
      <c r="A127"/>
      <c r="B127"/>
      <c r="C127"/>
      <c r="D127"/>
      <c r="E127"/>
      <c r="F127"/>
      <c r="G127"/>
      <c r="H127"/>
      <c r="I127" t="inlineStr">
        <is>
          <t>No empezada</t>
        </is>
      </c>
      <c r="J127" t="inlineStr">
        <is>
          <t>Pendiente</t>
        </is>
      </c>
      <c r="K127"/>
      <c r="L127"/>
      <c r="M127"/>
      <c r="N127">
        <f>IF(AND(ISNUMBER(L127),ISNUMBER(M127)),L127*M127/100,"")</f>
      </c>
      <c r="O127"/>
    </row>
    <row r="128">
      <c r="A128"/>
      <c r="B128"/>
      <c r="C128"/>
      <c r="D128"/>
      <c r="E128"/>
      <c r="F128"/>
      <c r="G128"/>
      <c r="H128"/>
      <c r="I128" t="inlineStr">
        <is>
          <t>No empezada</t>
        </is>
      </c>
      <c r="J128" t="inlineStr">
        <is>
          <t>Pendiente</t>
        </is>
      </c>
      <c r="K128"/>
      <c r="L128"/>
      <c r="M128"/>
      <c r="N128">
        <f>IF(AND(ISNUMBER(L128),ISNUMBER(M128)),L128*M128/100,"")</f>
      </c>
      <c r="O128"/>
    </row>
    <row r="129">
      <c r="A129"/>
      <c r="B129"/>
      <c r="C129"/>
      <c r="D129"/>
      <c r="E129"/>
      <c r="F129"/>
      <c r="G129"/>
      <c r="H129"/>
      <c r="I129" t="inlineStr">
        <is>
          <t>No empezada</t>
        </is>
      </c>
      <c r="J129" t="inlineStr">
        <is>
          <t>Pendiente</t>
        </is>
      </c>
      <c r="K129"/>
      <c r="L129"/>
      <c r="M129"/>
      <c r="N129">
        <f>IF(AND(ISNUMBER(L129),ISNUMBER(M129)),L129*M129/100,"")</f>
      </c>
      <c r="O129"/>
    </row>
    <row r="130">
      <c r="A130"/>
      <c r="B130"/>
      <c r="C130"/>
      <c r="D130"/>
      <c r="E130"/>
      <c r="F130"/>
      <c r="G130"/>
      <c r="H130"/>
      <c r="I130" t="inlineStr">
        <is>
          <t>No empezada</t>
        </is>
      </c>
      <c r="J130" t="inlineStr">
        <is>
          <t>Pendiente</t>
        </is>
      </c>
      <c r="K130"/>
      <c r="L130"/>
      <c r="M130"/>
      <c r="N130">
        <f>IF(AND(ISNUMBER(L130),ISNUMBER(M130)),L130*M130/100,"")</f>
      </c>
      <c r="O130"/>
    </row>
    <row r="131">
      <c r="A131"/>
      <c r="B131"/>
      <c r="C131"/>
      <c r="D131"/>
      <c r="E131"/>
      <c r="F131"/>
      <c r="G131"/>
      <c r="H131"/>
      <c r="I131" t="inlineStr">
        <is>
          <t>No empezada</t>
        </is>
      </c>
      <c r="J131" t="inlineStr">
        <is>
          <t>Pendiente</t>
        </is>
      </c>
      <c r="K131"/>
      <c r="L131"/>
      <c r="M131"/>
      <c r="N131">
        <f>IF(AND(ISNUMBER(L131),ISNUMBER(M131)),L131*M131/100,"")</f>
      </c>
      <c r="O131"/>
    </row>
    <row r="132">
      <c r="A132"/>
      <c r="B132"/>
      <c r="C132"/>
      <c r="D132"/>
      <c r="E132"/>
      <c r="F132"/>
      <c r="G132"/>
      <c r="H132"/>
      <c r="I132" t="inlineStr">
        <is>
          <t>No empezada</t>
        </is>
      </c>
      <c r="J132" t="inlineStr">
        <is>
          <t>Pendiente</t>
        </is>
      </c>
      <c r="K132"/>
      <c r="L132"/>
      <c r="M132"/>
      <c r="N132">
        <f>IF(AND(ISNUMBER(L132),ISNUMBER(M132)),L132*M132/100,"")</f>
      </c>
      <c r="O132"/>
    </row>
    <row r="133">
      <c r="A133"/>
      <c r="B133"/>
      <c r="C133"/>
      <c r="D133"/>
      <c r="E133"/>
      <c r="F133"/>
      <c r="G133"/>
      <c r="H133"/>
      <c r="I133" t="inlineStr">
        <is>
          <t>No empezada</t>
        </is>
      </c>
      <c r="J133" t="inlineStr">
        <is>
          <t>Pendiente</t>
        </is>
      </c>
      <c r="K133"/>
      <c r="L133"/>
      <c r="M133"/>
      <c r="N133">
        <f>IF(AND(ISNUMBER(L133),ISNUMBER(M133)),L133*M133/100,"")</f>
      </c>
      <c r="O133"/>
    </row>
    <row r="134">
      <c r="A134"/>
      <c r="B134"/>
      <c r="C134"/>
      <c r="D134"/>
      <c r="E134"/>
      <c r="F134"/>
      <c r="G134"/>
      <c r="H134"/>
      <c r="I134" t="inlineStr">
        <is>
          <t>No empezada</t>
        </is>
      </c>
      <c r="J134" t="inlineStr">
        <is>
          <t>Pendiente</t>
        </is>
      </c>
      <c r="K134"/>
      <c r="L134"/>
      <c r="M134"/>
      <c r="N134">
        <f>IF(AND(ISNUMBER(L134),ISNUMBER(M134)),L134*M134/100,"")</f>
      </c>
      <c r="O134"/>
    </row>
    <row r="135">
      <c r="A135"/>
      <c r="B135"/>
      <c r="C135"/>
      <c r="D135"/>
      <c r="E135"/>
      <c r="F135"/>
      <c r="G135"/>
      <c r="H135"/>
      <c r="I135" t="inlineStr">
        <is>
          <t>No empezada</t>
        </is>
      </c>
      <c r="J135" t="inlineStr">
        <is>
          <t>Pendiente</t>
        </is>
      </c>
      <c r="K135"/>
      <c r="L135"/>
      <c r="M135"/>
      <c r="N135">
        <f>IF(AND(ISNUMBER(L135),ISNUMBER(M135)),L135*M135/100,"")</f>
      </c>
      <c r="O135"/>
    </row>
    <row r="136">
      <c r="A136"/>
      <c r="B136"/>
      <c r="C136"/>
      <c r="D136"/>
      <c r="E136"/>
      <c r="F136"/>
      <c r="G136"/>
      <c r="H136"/>
      <c r="I136" t="inlineStr">
        <is>
          <t>No empezada</t>
        </is>
      </c>
      <c r="J136" t="inlineStr">
        <is>
          <t>Pendiente</t>
        </is>
      </c>
      <c r="K136"/>
      <c r="L136"/>
      <c r="M136"/>
      <c r="N136">
        <f>IF(AND(ISNUMBER(L136),ISNUMBER(M136)),L136*M136/100,"")</f>
      </c>
      <c r="O136"/>
    </row>
    <row r="137">
      <c r="A137"/>
      <c r="B137"/>
      <c r="C137"/>
      <c r="D137"/>
      <c r="E137"/>
      <c r="F137"/>
      <c r="G137"/>
      <c r="H137"/>
      <c r="I137" t="inlineStr">
        <is>
          <t>No empezada</t>
        </is>
      </c>
      <c r="J137" t="inlineStr">
        <is>
          <t>Pendiente</t>
        </is>
      </c>
      <c r="K137"/>
      <c r="L137"/>
      <c r="M137"/>
      <c r="N137">
        <f>IF(AND(ISNUMBER(L137),ISNUMBER(M137)),L137*M137/100,"")</f>
      </c>
      <c r="O137"/>
    </row>
    <row r="138">
      <c r="A138"/>
      <c r="B138"/>
      <c r="C138"/>
      <c r="D138"/>
      <c r="E138"/>
      <c r="F138"/>
      <c r="G138"/>
      <c r="H138"/>
      <c r="I138" t="inlineStr">
        <is>
          <t>No empezada</t>
        </is>
      </c>
      <c r="J138" t="inlineStr">
        <is>
          <t>Pendiente</t>
        </is>
      </c>
      <c r="K138"/>
      <c r="L138"/>
      <c r="M138"/>
      <c r="N138">
        <f>IF(AND(ISNUMBER(L138),ISNUMBER(M138)),L138*M138/100,"")</f>
      </c>
      <c r="O138"/>
    </row>
    <row r="139">
      <c r="A139"/>
      <c r="B139"/>
      <c r="C139"/>
      <c r="D139"/>
      <c r="E139"/>
      <c r="F139"/>
      <c r="G139"/>
      <c r="H139"/>
      <c r="I139" t="inlineStr">
        <is>
          <t>No empezada</t>
        </is>
      </c>
      <c r="J139" t="inlineStr">
        <is>
          <t>Pendiente</t>
        </is>
      </c>
      <c r="K139"/>
      <c r="L139"/>
      <c r="M139"/>
      <c r="N139">
        <f>IF(AND(ISNUMBER(L139),ISNUMBER(M139)),L139*M139/100,"")</f>
      </c>
      <c r="O139"/>
    </row>
    <row r="140">
      <c r="A140"/>
      <c r="B140"/>
      <c r="C140"/>
      <c r="D140"/>
      <c r="E140"/>
      <c r="F140"/>
      <c r="G140"/>
      <c r="H140"/>
      <c r="I140" t="inlineStr">
        <is>
          <t>No empezada</t>
        </is>
      </c>
      <c r="J140" t="inlineStr">
        <is>
          <t>Pendiente</t>
        </is>
      </c>
      <c r="K140"/>
      <c r="L140"/>
      <c r="M140"/>
      <c r="N140">
        <f>IF(AND(ISNUMBER(L140),ISNUMBER(M140)),L140*M140/100,"")</f>
      </c>
      <c r="O140"/>
    </row>
    <row r="141">
      <c r="A141"/>
      <c r="B141"/>
      <c r="C141"/>
      <c r="D141"/>
      <c r="E141"/>
      <c r="F141"/>
      <c r="G141"/>
      <c r="H141"/>
      <c r="I141" t="inlineStr">
        <is>
          <t>No empezada</t>
        </is>
      </c>
      <c r="J141" t="inlineStr">
        <is>
          <t>Pendiente</t>
        </is>
      </c>
      <c r="K141"/>
      <c r="L141"/>
      <c r="M141"/>
      <c r="N141">
        <f>IF(AND(ISNUMBER(L141),ISNUMBER(M141)),L141*M141/100,"")</f>
      </c>
      <c r="O141"/>
    </row>
    <row r="142">
      <c r="A142"/>
      <c r="B142"/>
      <c r="C142"/>
      <c r="D142"/>
      <c r="E142"/>
      <c r="F142"/>
      <c r="G142"/>
      <c r="H142"/>
      <c r="I142" t="inlineStr">
        <is>
          <t>No empezada</t>
        </is>
      </c>
      <c r="J142" t="inlineStr">
        <is>
          <t>Pendiente</t>
        </is>
      </c>
      <c r="K142"/>
      <c r="L142"/>
      <c r="M142"/>
      <c r="N142">
        <f>IF(AND(ISNUMBER(L142),ISNUMBER(M142)),L142*M142/100,"")</f>
      </c>
      <c r="O142"/>
    </row>
    <row r="143">
      <c r="A143"/>
      <c r="B143"/>
      <c r="C143"/>
      <c r="D143"/>
      <c r="E143"/>
      <c r="F143"/>
      <c r="G143"/>
      <c r="H143"/>
      <c r="I143" t="inlineStr">
        <is>
          <t>No empezada</t>
        </is>
      </c>
      <c r="J143" t="inlineStr">
        <is>
          <t>Pendiente</t>
        </is>
      </c>
      <c r="K143"/>
      <c r="L143"/>
      <c r="M143"/>
      <c r="N143">
        <f>IF(AND(ISNUMBER(L143),ISNUMBER(M143)),L143*M143/100,"")</f>
      </c>
      <c r="O143"/>
    </row>
    <row r="144">
      <c r="A144"/>
      <c r="B144"/>
      <c r="C144"/>
      <c r="D144"/>
      <c r="E144"/>
      <c r="F144"/>
      <c r="G144"/>
      <c r="H144"/>
      <c r="I144" t="inlineStr">
        <is>
          <t>No empezada</t>
        </is>
      </c>
      <c r="J144" t="inlineStr">
        <is>
          <t>Pendiente</t>
        </is>
      </c>
      <c r="K144"/>
      <c r="L144"/>
      <c r="M144"/>
      <c r="N144">
        <f>IF(AND(ISNUMBER(L144),ISNUMBER(M144)),L144*M144/100,"")</f>
      </c>
      <c r="O144"/>
    </row>
    <row r="145">
      <c r="A145"/>
      <c r="B145"/>
      <c r="C145"/>
      <c r="D145"/>
      <c r="E145"/>
      <c r="F145"/>
      <c r="G145"/>
      <c r="H145"/>
      <c r="I145" t="inlineStr">
        <is>
          <t>No empezada</t>
        </is>
      </c>
      <c r="J145" t="inlineStr">
        <is>
          <t>Pendiente</t>
        </is>
      </c>
      <c r="K145"/>
      <c r="L145"/>
      <c r="M145"/>
      <c r="N145">
        <f>IF(AND(ISNUMBER(L145),ISNUMBER(M145)),L145*M145/100,"")</f>
      </c>
      <c r="O145"/>
    </row>
    <row r="146">
      <c r="A146"/>
      <c r="B146"/>
      <c r="C146"/>
      <c r="D146"/>
      <c r="E146"/>
      <c r="F146"/>
      <c r="G146"/>
      <c r="H146"/>
      <c r="I146" t="inlineStr">
        <is>
          <t>No empezada</t>
        </is>
      </c>
      <c r="J146" t="inlineStr">
        <is>
          <t>Pendiente</t>
        </is>
      </c>
      <c r="K146"/>
      <c r="L146"/>
      <c r="M146"/>
      <c r="N146">
        <f>IF(AND(ISNUMBER(L146),ISNUMBER(M146)),L146*M146/100,"")</f>
      </c>
      <c r="O146"/>
    </row>
    <row r="147">
      <c r="A147"/>
      <c r="B147"/>
      <c r="C147"/>
      <c r="D147"/>
      <c r="E147"/>
      <c r="F147"/>
      <c r="G147"/>
      <c r="H147"/>
      <c r="I147" t="inlineStr">
        <is>
          <t>No empezada</t>
        </is>
      </c>
      <c r="J147" t="inlineStr">
        <is>
          <t>Pendiente</t>
        </is>
      </c>
      <c r="K147"/>
      <c r="L147"/>
      <c r="M147"/>
      <c r="N147">
        <f>IF(AND(ISNUMBER(L147),ISNUMBER(M147)),L147*M147/100,"")</f>
      </c>
      <c r="O147"/>
    </row>
    <row r="148">
      <c r="A148"/>
      <c r="B148"/>
      <c r="C148"/>
      <c r="D148"/>
      <c r="E148"/>
      <c r="F148"/>
      <c r="G148"/>
      <c r="H148"/>
      <c r="I148" t="inlineStr">
        <is>
          <t>No empezada</t>
        </is>
      </c>
      <c r="J148" t="inlineStr">
        <is>
          <t>Pendiente</t>
        </is>
      </c>
      <c r="K148"/>
      <c r="L148"/>
      <c r="M148"/>
      <c r="N148">
        <f>IF(AND(ISNUMBER(L148),ISNUMBER(M148)),L148*M148/100,"")</f>
      </c>
      <c r="O148"/>
    </row>
    <row r="149">
      <c r="A149"/>
      <c r="B149"/>
      <c r="C149"/>
      <c r="D149"/>
      <c r="E149"/>
      <c r="F149"/>
      <c r="G149"/>
      <c r="H149"/>
      <c r="I149" t="inlineStr">
        <is>
          <t>No empezada</t>
        </is>
      </c>
      <c r="J149" t="inlineStr">
        <is>
          <t>Pendiente</t>
        </is>
      </c>
      <c r="K149"/>
      <c r="L149"/>
      <c r="M149"/>
      <c r="N149">
        <f>IF(AND(ISNUMBER(L149),ISNUMBER(M149)),L149*M149/100,"")</f>
      </c>
      <c r="O149"/>
    </row>
    <row r="150">
      <c r="A150"/>
      <c r="B150"/>
      <c r="C150"/>
      <c r="D150"/>
      <c r="E150"/>
      <c r="F150"/>
      <c r="G150"/>
      <c r="H150"/>
      <c r="I150" t="inlineStr">
        <is>
          <t>No empezada</t>
        </is>
      </c>
      <c r="J150" t="inlineStr">
        <is>
          <t>Pendiente</t>
        </is>
      </c>
      <c r="K150"/>
      <c r="L150"/>
      <c r="M150"/>
      <c r="N150">
        <f>IF(AND(ISNUMBER(L150),ISNUMBER(M150)),L150*M150/100,"")</f>
      </c>
      <c r="O150"/>
    </row>
    <row r="151">
      <c r="A151"/>
      <c r="B151"/>
      <c r="C151"/>
      <c r="D151"/>
      <c r="E151"/>
      <c r="F151"/>
      <c r="G151"/>
      <c r="H151"/>
      <c r="I151" t="inlineStr">
        <is>
          <t>No empezada</t>
        </is>
      </c>
      <c r="J151" t="inlineStr">
        <is>
          <t>Pendiente</t>
        </is>
      </c>
      <c r="K151"/>
      <c r="L151"/>
      <c r="M151"/>
      <c r="N151">
        <f>IF(AND(ISNUMBER(L151),ISNUMBER(M151)),L151*M151/100,"")</f>
      </c>
      <c r="O151"/>
    </row>
    <row r="152">
      <c r="A152"/>
      <c r="B152"/>
      <c r="C152"/>
      <c r="D152"/>
      <c r="E152"/>
      <c r="F152"/>
      <c r="G152"/>
      <c r="H152"/>
      <c r="I152" t="inlineStr">
        <is>
          <t>No empezada</t>
        </is>
      </c>
      <c r="J152" t="inlineStr">
        <is>
          <t>Pendiente</t>
        </is>
      </c>
      <c r="K152"/>
      <c r="L152"/>
      <c r="M152"/>
      <c r="N152">
        <f>IF(AND(ISNUMBER(L152),ISNUMBER(M152)),L152*M152/100,"")</f>
      </c>
      <c r="O152"/>
    </row>
    <row r="153">
      <c r="A153"/>
      <c r="B153"/>
      <c r="C153"/>
      <c r="D153"/>
      <c r="E153"/>
      <c r="F153"/>
      <c r="G153"/>
      <c r="H153"/>
      <c r="I153" t="inlineStr">
        <is>
          <t>No empezada</t>
        </is>
      </c>
      <c r="J153" t="inlineStr">
        <is>
          <t>Pendiente</t>
        </is>
      </c>
      <c r="K153"/>
      <c r="L153"/>
      <c r="M153"/>
      <c r="N153">
        <f>IF(AND(ISNUMBER(L153),ISNUMBER(M153)),L153*M153/100,"")</f>
      </c>
      <c r="O153"/>
    </row>
    <row r="154">
      <c r="A154"/>
      <c r="B154"/>
      <c r="C154"/>
      <c r="D154"/>
      <c r="E154"/>
      <c r="F154"/>
      <c r="G154"/>
      <c r="H154"/>
      <c r="I154" t="inlineStr">
        <is>
          <t>No empezada</t>
        </is>
      </c>
      <c r="J154" t="inlineStr">
        <is>
          <t>Pendiente</t>
        </is>
      </c>
      <c r="K154"/>
      <c r="L154"/>
      <c r="M154"/>
      <c r="N154">
        <f>IF(AND(ISNUMBER(L154),ISNUMBER(M154)),L154*M154/100,"")</f>
      </c>
      <c r="O154"/>
    </row>
    <row r="155">
      <c r="A155"/>
      <c r="B155"/>
      <c r="C155"/>
      <c r="D155"/>
      <c r="E155"/>
      <c r="F155"/>
      <c r="G155"/>
      <c r="H155"/>
      <c r="I155" t="inlineStr">
        <is>
          <t>No empezada</t>
        </is>
      </c>
      <c r="J155" t="inlineStr">
        <is>
          <t>Pendiente</t>
        </is>
      </c>
      <c r="K155"/>
      <c r="L155"/>
      <c r="M155"/>
      <c r="N155">
        <f>IF(AND(ISNUMBER(L155),ISNUMBER(M155)),L155*M155/100,"")</f>
      </c>
      <c r="O155"/>
    </row>
    <row r="156">
      <c r="A156"/>
      <c r="B156"/>
      <c r="C156"/>
      <c r="D156"/>
      <c r="E156"/>
      <c r="F156"/>
      <c r="G156"/>
      <c r="H156"/>
      <c r="I156" t="inlineStr">
        <is>
          <t>No empezada</t>
        </is>
      </c>
      <c r="J156" t="inlineStr">
        <is>
          <t>Pendiente</t>
        </is>
      </c>
      <c r="K156"/>
      <c r="L156"/>
      <c r="M156"/>
      <c r="N156">
        <f>IF(AND(ISNUMBER(L156),ISNUMBER(M156)),L156*M156/100,"")</f>
      </c>
      <c r="O156"/>
    </row>
    <row r="157">
      <c r="A157"/>
      <c r="B157"/>
      <c r="C157"/>
      <c r="D157"/>
      <c r="E157"/>
      <c r="F157"/>
      <c r="G157"/>
      <c r="H157"/>
      <c r="I157" t="inlineStr">
        <is>
          <t>No empezada</t>
        </is>
      </c>
      <c r="J157" t="inlineStr">
        <is>
          <t>Pendiente</t>
        </is>
      </c>
      <c r="K157"/>
      <c r="L157"/>
      <c r="M157"/>
      <c r="N157">
        <f>IF(AND(ISNUMBER(L157),ISNUMBER(M157)),L157*M157/100,"")</f>
      </c>
      <c r="O157"/>
    </row>
    <row r="158">
      <c r="A158"/>
      <c r="B158"/>
      <c r="C158"/>
      <c r="D158"/>
      <c r="E158"/>
      <c r="F158"/>
      <c r="G158"/>
      <c r="H158"/>
      <c r="I158" t="inlineStr">
        <is>
          <t>No empezada</t>
        </is>
      </c>
      <c r="J158" t="inlineStr">
        <is>
          <t>Pendiente</t>
        </is>
      </c>
      <c r="K158"/>
      <c r="L158"/>
      <c r="M158"/>
      <c r="N158">
        <f>IF(AND(ISNUMBER(L158),ISNUMBER(M158)),L158*M158/100,"")</f>
      </c>
      <c r="O158"/>
    </row>
    <row r="159">
      <c r="A159"/>
      <c r="B159"/>
      <c r="C159"/>
      <c r="D159"/>
      <c r="E159"/>
      <c r="F159"/>
      <c r="G159"/>
      <c r="H159"/>
      <c r="I159" t="inlineStr">
        <is>
          <t>No empezada</t>
        </is>
      </c>
      <c r="J159" t="inlineStr">
        <is>
          <t>Pendiente</t>
        </is>
      </c>
      <c r="K159"/>
      <c r="L159"/>
      <c r="M159"/>
      <c r="N159">
        <f>IF(AND(ISNUMBER(L159),ISNUMBER(M159)),L159*M159/100,"")</f>
      </c>
      <c r="O159"/>
    </row>
    <row r="160">
      <c r="A160"/>
      <c r="B160"/>
      <c r="C160"/>
      <c r="D160"/>
      <c r="E160"/>
      <c r="F160"/>
      <c r="G160"/>
      <c r="H160"/>
      <c r="I160" t="inlineStr">
        <is>
          <t>No empezada</t>
        </is>
      </c>
      <c r="J160" t="inlineStr">
        <is>
          <t>Pendiente</t>
        </is>
      </c>
      <c r="K160"/>
      <c r="L160"/>
      <c r="M160"/>
      <c r="N160">
        <f>IF(AND(ISNUMBER(L160),ISNUMBER(M160)),L160*M160/100,"")</f>
      </c>
      <c r="O160"/>
    </row>
    <row r="161">
      <c r="A161"/>
      <c r="B161"/>
      <c r="C161"/>
      <c r="D161"/>
      <c r="E161"/>
      <c r="F161"/>
      <c r="G161"/>
      <c r="H161"/>
      <c r="I161" t="inlineStr">
        <is>
          <t>No empezada</t>
        </is>
      </c>
      <c r="J161" t="inlineStr">
        <is>
          <t>Pendiente</t>
        </is>
      </c>
      <c r="K161"/>
      <c r="L161"/>
      <c r="M161"/>
      <c r="N161">
        <f>IF(AND(ISNUMBER(L161),ISNUMBER(M161)),L161*M161/100,"")</f>
      </c>
      <c r="O161"/>
    </row>
    <row r="162">
      <c r="A162"/>
      <c r="B162"/>
      <c r="C162"/>
      <c r="D162"/>
      <c r="E162"/>
      <c r="F162"/>
      <c r="G162"/>
      <c r="H162"/>
      <c r="I162" t="inlineStr">
        <is>
          <t>No empezada</t>
        </is>
      </c>
      <c r="J162" t="inlineStr">
        <is>
          <t>Pendiente</t>
        </is>
      </c>
      <c r="K162"/>
      <c r="L162"/>
      <c r="M162"/>
      <c r="N162">
        <f>IF(AND(ISNUMBER(L162),ISNUMBER(M162)),L162*M162/100,"")</f>
      </c>
      <c r="O162"/>
    </row>
    <row r="163">
      <c r="A163"/>
      <c r="B163"/>
      <c r="C163"/>
      <c r="D163"/>
      <c r="E163"/>
      <c r="F163"/>
      <c r="G163"/>
      <c r="H163"/>
      <c r="I163" t="inlineStr">
        <is>
          <t>No empezada</t>
        </is>
      </c>
      <c r="J163" t="inlineStr">
        <is>
          <t>Pendiente</t>
        </is>
      </c>
      <c r="K163"/>
      <c r="L163"/>
      <c r="M163"/>
      <c r="N163">
        <f>IF(AND(ISNUMBER(L163),ISNUMBER(M163)),L163*M163/100,"")</f>
      </c>
      <c r="O163"/>
    </row>
    <row r="164">
      <c r="A164"/>
      <c r="B164"/>
      <c r="C164"/>
      <c r="D164"/>
      <c r="E164"/>
      <c r="F164"/>
      <c r="G164"/>
      <c r="H164"/>
      <c r="I164" t="inlineStr">
        <is>
          <t>No empezada</t>
        </is>
      </c>
      <c r="J164" t="inlineStr">
        <is>
          <t>Pendiente</t>
        </is>
      </c>
      <c r="K164"/>
      <c r="L164"/>
      <c r="M164"/>
      <c r="N164">
        <f>IF(AND(ISNUMBER(L164),ISNUMBER(M164)),L164*M164/100,"")</f>
      </c>
      <c r="O164"/>
    </row>
    <row r="165">
      <c r="A165"/>
      <c r="B165"/>
      <c r="C165"/>
      <c r="D165"/>
      <c r="E165"/>
      <c r="F165"/>
      <c r="G165"/>
      <c r="H165"/>
      <c r="I165" t="inlineStr">
        <is>
          <t>No empezada</t>
        </is>
      </c>
      <c r="J165" t="inlineStr">
        <is>
          <t>Pendiente</t>
        </is>
      </c>
      <c r="K165"/>
      <c r="L165"/>
      <c r="M165"/>
      <c r="N165">
        <f>IF(AND(ISNUMBER(L165),ISNUMBER(M165)),L165*M165/100,"")</f>
      </c>
      <c r="O165"/>
    </row>
    <row r="166">
      <c r="A166"/>
      <c r="B166"/>
      <c r="C166"/>
      <c r="D166"/>
      <c r="E166"/>
      <c r="F166"/>
      <c r="G166"/>
      <c r="H166"/>
      <c r="I166" t="inlineStr">
        <is>
          <t>No empezada</t>
        </is>
      </c>
      <c r="J166" t="inlineStr">
        <is>
          <t>Pendiente</t>
        </is>
      </c>
      <c r="K166"/>
      <c r="L166"/>
      <c r="M166"/>
      <c r="N166">
        <f>IF(AND(ISNUMBER(L166),ISNUMBER(M166)),L166*M166/100,"")</f>
      </c>
      <c r="O166"/>
    </row>
    <row r="167">
      <c r="A167"/>
      <c r="B167"/>
      <c r="C167"/>
      <c r="D167"/>
      <c r="E167"/>
      <c r="F167"/>
      <c r="G167"/>
      <c r="H167"/>
      <c r="I167" t="inlineStr">
        <is>
          <t>No empezada</t>
        </is>
      </c>
      <c r="J167" t="inlineStr">
        <is>
          <t>Pendiente</t>
        </is>
      </c>
      <c r="K167"/>
      <c r="L167"/>
      <c r="M167"/>
      <c r="N167">
        <f>IF(AND(ISNUMBER(L167),ISNUMBER(M167)),L167*M167/100,"")</f>
      </c>
      <c r="O167"/>
    </row>
    <row r="168">
      <c r="A168"/>
      <c r="B168"/>
      <c r="C168"/>
      <c r="D168"/>
      <c r="E168"/>
      <c r="F168"/>
      <c r="G168"/>
      <c r="H168"/>
      <c r="I168" t="inlineStr">
        <is>
          <t>No empezada</t>
        </is>
      </c>
      <c r="J168" t="inlineStr">
        <is>
          <t>Pendiente</t>
        </is>
      </c>
      <c r="K168"/>
      <c r="L168"/>
      <c r="M168"/>
      <c r="N168">
        <f>IF(AND(ISNUMBER(L168),ISNUMBER(M168)),L168*M168/100,"")</f>
      </c>
      <c r="O168"/>
    </row>
    <row r="169">
      <c r="A169"/>
      <c r="B169"/>
      <c r="C169"/>
      <c r="D169"/>
      <c r="E169"/>
      <c r="F169"/>
      <c r="G169"/>
      <c r="H169"/>
      <c r="I169" t="inlineStr">
        <is>
          <t>No empezada</t>
        </is>
      </c>
      <c r="J169" t="inlineStr">
        <is>
          <t>Pendiente</t>
        </is>
      </c>
      <c r="K169"/>
      <c r="L169"/>
      <c r="M169"/>
      <c r="N169">
        <f>IF(AND(ISNUMBER(L169),ISNUMBER(M169)),L169*M169/100,"")</f>
      </c>
      <c r="O169"/>
    </row>
    <row r="170">
      <c r="A170"/>
      <c r="B170"/>
      <c r="C170"/>
      <c r="D170"/>
      <c r="E170"/>
      <c r="F170"/>
      <c r="G170"/>
      <c r="H170"/>
      <c r="I170" t="inlineStr">
        <is>
          <t>No empezada</t>
        </is>
      </c>
      <c r="J170" t="inlineStr">
        <is>
          <t>Pendiente</t>
        </is>
      </c>
      <c r="K170"/>
      <c r="L170"/>
      <c r="M170"/>
      <c r="N170">
        <f>IF(AND(ISNUMBER(L170),ISNUMBER(M170)),L170*M170/100,"")</f>
      </c>
      <c r="O170"/>
    </row>
    <row r="171">
      <c r="A171"/>
      <c r="B171"/>
      <c r="C171"/>
      <c r="D171"/>
      <c r="E171"/>
      <c r="F171"/>
      <c r="G171"/>
      <c r="H171"/>
      <c r="I171" t="inlineStr">
        <is>
          <t>No empezada</t>
        </is>
      </c>
      <c r="J171" t="inlineStr">
        <is>
          <t>Pendiente</t>
        </is>
      </c>
      <c r="K171"/>
      <c r="L171"/>
      <c r="M171"/>
      <c r="N171">
        <f>IF(AND(ISNUMBER(L171),ISNUMBER(M171)),L171*M171/100,"")</f>
      </c>
      <c r="O171"/>
    </row>
    <row r="172">
      <c r="A172"/>
      <c r="B172"/>
      <c r="C172"/>
      <c r="D172"/>
      <c r="E172"/>
      <c r="F172"/>
      <c r="G172"/>
      <c r="H172"/>
      <c r="I172" t="inlineStr">
        <is>
          <t>No empezada</t>
        </is>
      </c>
      <c r="J172" t="inlineStr">
        <is>
          <t>Pendiente</t>
        </is>
      </c>
      <c r="K172"/>
      <c r="L172"/>
      <c r="M172"/>
      <c r="N172">
        <f>IF(AND(ISNUMBER(L172),ISNUMBER(M172)),L172*M172/100,"")</f>
      </c>
      <c r="O172"/>
    </row>
    <row r="173">
      <c r="A173"/>
      <c r="B173"/>
      <c r="C173"/>
      <c r="D173"/>
      <c r="E173"/>
      <c r="F173"/>
      <c r="G173"/>
      <c r="H173"/>
      <c r="I173" t="inlineStr">
        <is>
          <t>No empezada</t>
        </is>
      </c>
      <c r="J173" t="inlineStr">
        <is>
          <t>Pendiente</t>
        </is>
      </c>
      <c r="K173"/>
      <c r="L173"/>
      <c r="M173"/>
      <c r="N173">
        <f>IF(AND(ISNUMBER(L173),ISNUMBER(M173)),L173*M173/100,"")</f>
      </c>
      <c r="O173"/>
    </row>
    <row r="174">
      <c r="A174"/>
      <c r="B174"/>
      <c r="C174"/>
      <c r="D174"/>
      <c r="E174"/>
      <c r="F174"/>
      <c r="G174"/>
      <c r="H174"/>
      <c r="I174" t="inlineStr">
        <is>
          <t>No empezada</t>
        </is>
      </c>
      <c r="J174" t="inlineStr">
        <is>
          <t>Pendiente</t>
        </is>
      </c>
      <c r="K174"/>
      <c r="L174"/>
      <c r="M174"/>
      <c r="N174">
        <f>IF(AND(ISNUMBER(L174),ISNUMBER(M174)),L174*M174/100,"")</f>
      </c>
      <c r="O174"/>
    </row>
    <row r="175">
      <c r="A175"/>
      <c r="B175"/>
      <c r="C175"/>
      <c r="D175"/>
      <c r="E175"/>
      <c r="F175"/>
      <c r="G175"/>
      <c r="H175"/>
      <c r="I175" t="inlineStr">
        <is>
          <t>No empezada</t>
        </is>
      </c>
      <c r="J175" t="inlineStr">
        <is>
          <t>Pendiente</t>
        </is>
      </c>
      <c r="K175"/>
      <c r="L175"/>
      <c r="M175"/>
      <c r="N175">
        <f>IF(AND(ISNUMBER(L175),ISNUMBER(M175)),L175*M175/100,"")</f>
      </c>
      <c r="O175"/>
    </row>
    <row r="176">
      <c r="A176"/>
      <c r="B176"/>
      <c r="C176"/>
      <c r="D176"/>
      <c r="E176"/>
      <c r="F176"/>
      <c r="G176"/>
      <c r="H176"/>
      <c r="I176" t="inlineStr">
        <is>
          <t>No empezada</t>
        </is>
      </c>
      <c r="J176" t="inlineStr">
        <is>
          <t>Pendiente</t>
        </is>
      </c>
      <c r="K176"/>
      <c r="L176"/>
      <c r="M176"/>
      <c r="N176">
        <f>IF(AND(ISNUMBER(L176),ISNUMBER(M176)),L176*M176/100,"")</f>
      </c>
      <c r="O176"/>
    </row>
    <row r="177">
      <c r="A177"/>
      <c r="B177"/>
      <c r="C177"/>
      <c r="D177"/>
      <c r="E177"/>
      <c r="F177"/>
      <c r="G177"/>
      <c r="H177"/>
      <c r="I177" t="inlineStr">
        <is>
          <t>No empezada</t>
        </is>
      </c>
      <c r="J177" t="inlineStr">
        <is>
          <t>Pendiente</t>
        </is>
      </c>
      <c r="K177"/>
      <c r="L177"/>
      <c r="M177"/>
      <c r="N177">
        <f>IF(AND(ISNUMBER(L177),ISNUMBER(M177)),L177*M177/100,"")</f>
      </c>
      <c r="O177"/>
    </row>
    <row r="178">
      <c r="A178"/>
      <c r="B178"/>
      <c r="C178"/>
      <c r="D178"/>
      <c r="E178"/>
      <c r="F178"/>
      <c r="G178"/>
      <c r="H178"/>
      <c r="I178" t="inlineStr">
        <is>
          <t>No empezada</t>
        </is>
      </c>
      <c r="J178" t="inlineStr">
        <is>
          <t>Pendiente</t>
        </is>
      </c>
      <c r="K178"/>
      <c r="L178"/>
      <c r="M178"/>
      <c r="N178">
        <f>IF(AND(ISNUMBER(L178),ISNUMBER(M178)),L178*M178/100,"")</f>
      </c>
      <c r="O178"/>
    </row>
    <row r="179">
      <c r="A179"/>
      <c r="B179"/>
      <c r="C179"/>
      <c r="D179"/>
      <c r="E179"/>
      <c r="F179"/>
      <c r="G179"/>
      <c r="H179"/>
      <c r="I179" t="inlineStr">
        <is>
          <t>No empezada</t>
        </is>
      </c>
      <c r="J179" t="inlineStr">
        <is>
          <t>Pendiente</t>
        </is>
      </c>
      <c r="K179"/>
      <c r="L179"/>
      <c r="M179"/>
      <c r="N179">
        <f>IF(AND(ISNUMBER(L179),ISNUMBER(M179)),L179*M179/100,"")</f>
      </c>
      <c r="O179"/>
    </row>
    <row r="180">
      <c r="A180"/>
      <c r="B180"/>
      <c r="C180"/>
      <c r="D180"/>
      <c r="E180"/>
      <c r="F180"/>
      <c r="G180"/>
      <c r="H180"/>
      <c r="I180" t="inlineStr">
        <is>
          <t>No empezada</t>
        </is>
      </c>
      <c r="J180" t="inlineStr">
        <is>
          <t>Pendiente</t>
        </is>
      </c>
      <c r="K180"/>
      <c r="L180"/>
      <c r="M180"/>
      <c r="N180">
        <f>IF(AND(ISNUMBER(L180),ISNUMBER(M180)),L180*M180/100,"")</f>
      </c>
      <c r="O180"/>
    </row>
    <row r="181">
      <c r="A181"/>
      <c r="B181"/>
      <c r="C181"/>
      <c r="D181"/>
      <c r="E181"/>
      <c r="F181"/>
      <c r="G181"/>
      <c r="H181"/>
      <c r="I181" t="inlineStr">
        <is>
          <t>No empezada</t>
        </is>
      </c>
      <c r="J181" t="inlineStr">
        <is>
          <t>Pendiente</t>
        </is>
      </c>
      <c r="K181"/>
      <c r="L181"/>
      <c r="M181"/>
      <c r="N181">
        <f>IF(AND(ISNUMBER(L181),ISNUMBER(M181)),L181*M181/100,"")</f>
      </c>
      <c r="O181"/>
    </row>
    <row r="182">
      <c r="A182"/>
      <c r="B182"/>
      <c r="C182"/>
      <c r="D182"/>
      <c r="E182"/>
      <c r="F182"/>
      <c r="G182"/>
      <c r="H182"/>
      <c r="I182" t="inlineStr">
        <is>
          <t>No empezada</t>
        </is>
      </c>
      <c r="J182" t="inlineStr">
        <is>
          <t>Pendiente</t>
        </is>
      </c>
      <c r="K182"/>
      <c r="L182"/>
      <c r="M182"/>
      <c r="N182">
        <f>IF(AND(ISNUMBER(L182),ISNUMBER(M182)),L182*M182/100,"")</f>
      </c>
      <c r="O182"/>
    </row>
    <row r="183">
      <c r="A183"/>
      <c r="B183"/>
      <c r="C183"/>
      <c r="D183"/>
      <c r="E183"/>
      <c r="F183"/>
      <c r="G183"/>
      <c r="H183"/>
      <c r="I183" t="inlineStr">
        <is>
          <t>No empezada</t>
        </is>
      </c>
      <c r="J183" t="inlineStr">
        <is>
          <t>Pendiente</t>
        </is>
      </c>
      <c r="K183"/>
      <c r="L183"/>
      <c r="M183"/>
      <c r="N183">
        <f>IF(AND(ISNUMBER(L183),ISNUMBER(M183)),L183*M183/100,"")</f>
      </c>
      <c r="O183"/>
    </row>
    <row r="184">
      <c r="A184"/>
      <c r="B184"/>
      <c r="C184"/>
      <c r="D184"/>
      <c r="E184"/>
      <c r="F184"/>
      <c r="G184"/>
      <c r="H184"/>
      <c r="I184" t="inlineStr">
        <is>
          <t>No empezada</t>
        </is>
      </c>
      <c r="J184" t="inlineStr">
        <is>
          <t>Pendiente</t>
        </is>
      </c>
      <c r="K184"/>
      <c r="L184"/>
      <c r="M184"/>
      <c r="N184">
        <f>IF(AND(ISNUMBER(L184),ISNUMBER(M184)),L184*M184/100,"")</f>
      </c>
      <c r="O184"/>
    </row>
    <row r="185">
      <c r="A185"/>
      <c r="B185"/>
      <c r="C185"/>
      <c r="D185"/>
      <c r="E185"/>
      <c r="F185"/>
      <c r="G185"/>
      <c r="H185"/>
      <c r="I185" t="inlineStr">
        <is>
          <t>No empezada</t>
        </is>
      </c>
      <c r="J185" t="inlineStr">
        <is>
          <t>Pendiente</t>
        </is>
      </c>
      <c r="K185"/>
      <c r="L185"/>
      <c r="M185"/>
      <c r="N185">
        <f>IF(AND(ISNUMBER(L185),ISNUMBER(M185)),L185*M185/100,"")</f>
      </c>
      <c r="O185"/>
    </row>
    <row r="186">
      <c r="A186"/>
      <c r="B186"/>
      <c r="C186"/>
      <c r="D186"/>
      <c r="E186"/>
      <c r="F186"/>
      <c r="G186"/>
      <c r="H186"/>
      <c r="I186" t="inlineStr">
        <is>
          <t>No empezada</t>
        </is>
      </c>
      <c r="J186" t="inlineStr">
        <is>
          <t>Pendiente</t>
        </is>
      </c>
      <c r="K186"/>
      <c r="L186"/>
      <c r="M186"/>
      <c r="N186">
        <f>IF(AND(ISNUMBER(L186),ISNUMBER(M186)),L186*M186/100,"")</f>
      </c>
      <c r="O186"/>
    </row>
    <row r="187">
      <c r="A187"/>
      <c r="B187"/>
      <c r="C187"/>
      <c r="D187"/>
      <c r="E187"/>
      <c r="F187"/>
      <c r="G187"/>
      <c r="H187"/>
      <c r="I187" t="inlineStr">
        <is>
          <t>No empezada</t>
        </is>
      </c>
      <c r="J187" t="inlineStr">
        <is>
          <t>Pendiente</t>
        </is>
      </c>
      <c r="K187"/>
      <c r="L187"/>
      <c r="M187"/>
      <c r="N187">
        <f>IF(AND(ISNUMBER(L187),ISNUMBER(M187)),L187*M187/100,"")</f>
      </c>
      <c r="O187"/>
    </row>
    <row r="188">
      <c r="A188"/>
      <c r="B188"/>
      <c r="C188"/>
      <c r="D188"/>
      <c r="E188"/>
      <c r="F188"/>
      <c r="G188"/>
      <c r="H188"/>
      <c r="I188" t="inlineStr">
        <is>
          <t>No empezada</t>
        </is>
      </c>
      <c r="J188" t="inlineStr">
        <is>
          <t>Pendiente</t>
        </is>
      </c>
      <c r="K188"/>
      <c r="L188"/>
      <c r="M188"/>
      <c r="N188">
        <f>IF(AND(ISNUMBER(L188),ISNUMBER(M188)),L188*M188/100,"")</f>
      </c>
      <c r="O188"/>
    </row>
    <row r="189">
      <c r="A189"/>
      <c r="B189"/>
      <c r="C189"/>
      <c r="D189"/>
      <c r="E189"/>
      <c r="F189"/>
      <c r="G189"/>
      <c r="H189"/>
      <c r="I189" t="inlineStr">
        <is>
          <t>No empezada</t>
        </is>
      </c>
      <c r="J189" t="inlineStr">
        <is>
          <t>Pendiente</t>
        </is>
      </c>
      <c r="K189"/>
      <c r="L189"/>
      <c r="M189"/>
      <c r="N189">
        <f>IF(AND(ISNUMBER(L189),ISNUMBER(M189)),L189*M189/100,"")</f>
      </c>
      <c r="O189"/>
    </row>
    <row r="190">
      <c r="A190"/>
      <c r="B190"/>
      <c r="C190"/>
      <c r="D190"/>
      <c r="E190"/>
      <c r="F190"/>
      <c r="G190"/>
      <c r="H190"/>
      <c r="I190" t="inlineStr">
        <is>
          <t>No empezada</t>
        </is>
      </c>
      <c r="J190" t="inlineStr">
        <is>
          <t>Pendiente</t>
        </is>
      </c>
      <c r="K190"/>
      <c r="L190"/>
      <c r="M190"/>
      <c r="N190">
        <f>IF(AND(ISNUMBER(L190),ISNUMBER(M190)),L190*M190/100,"")</f>
      </c>
      <c r="O190"/>
    </row>
    <row r="191">
      <c r="A191"/>
      <c r="B191"/>
      <c r="C191"/>
      <c r="D191"/>
      <c r="E191"/>
      <c r="F191"/>
      <c r="G191"/>
      <c r="H191"/>
      <c r="I191" t="inlineStr">
        <is>
          <t>No empezada</t>
        </is>
      </c>
      <c r="J191" t="inlineStr">
        <is>
          <t>Pendiente</t>
        </is>
      </c>
      <c r="K191"/>
      <c r="L191"/>
      <c r="M191"/>
      <c r="N191">
        <f>IF(AND(ISNUMBER(L191),ISNUMBER(M191)),L191*M191/100,"")</f>
      </c>
      <c r="O191"/>
    </row>
    <row r="192">
      <c r="A192"/>
      <c r="B192"/>
      <c r="C192"/>
      <c r="D192"/>
      <c r="E192"/>
      <c r="F192"/>
      <c r="G192"/>
      <c r="H192"/>
      <c r="I192" t="inlineStr">
        <is>
          <t>No empezada</t>
        </is>
      </c>
      <c r="J192" t="inlineStr">
        <is>
          <t>Pendiente</t>
        </is>
      </c>
      <c r="K192"/>
      <c r="L192"/>
      <c r="M192"/>
      <c r="N192">
        <f>IF(AND(ISNUMBER(L192),ISNUMBER(M192)),L192*M192/100,"")</f>
      </c>
      <c r="O192"/>
    </row>
    <row r="193">
      <c r="A193"/>
      <c r="B193"/>
      <c r="C193"/>
      <c r="D193"/>
      <c r="E193"/>
      <c r="F193"/>
      <c r="G193"/>
      <c r="H193"/>
      <c r="I193" t="inlineStr">
        <is>
          <t>No empezada</t>
        </is>
      </c>
      <c r="J193" t="inlineStr">
        <is>
          <t>Pendiente</t>
        </is>
      </c>
      <c r="K193"/>
      <c r="L193"/>
      <c r="M193"/>
      <c r="N193">
        <f>IF(AND(ISNUMBER(L193),ISNUMBER(M193)),L193*M193/100,"")</f>
      </c>
      <c r="O193"/>
    </row>
    <row r="194">
      <c r="A194"/>
      <c r="B194"/>
      <c r="C194"/>
      <c r="D194"/>
      <c r="E194"/>
      <c r="F194"/>
      <c r="G194"/>
      <c r="H194"/>
      <c r="I194" t="inlineStr">
        <is>
          <t>No empezada</t>
        </is>
      </c>
      <c r="J194" t="inlineStr">
        <is>
          <t>Pendiente</t>
        </is>
      </c>
      <c r="K194"/>
      <c r="L194"/>
      <c r="M194"/>
      <c r="N194">
        <f>IF(AND(ISNUMBER(L194),ISNUMBER(M194)),L194*M194/100,"")</f>
      </c>
      <c r="O194"/>
    </row>
    <row r="195">
      <c r="A195"/>
      <c r="B195"/>
      <c r="C195"/>
      <c r="D195"/>
      <c r="E195"/>
      <c r="F195"/>
      <c r="G195"/>
      <c r="H195"/>
      <c r="I195" t="inlineStr">
        <is>
          <t>No empezada</t>
        </is>
      </c>
      <c r="J195" t="inlineStr">
        <is>
          <t>Pendiente</t>
        </is>
      </c>
      <c r="K195"/>
      <c r="L195"/>
      <c r="M195"/>
      <c r="N195">
        <f>IF(AND(ISNUMBER(L195),ISNUMBER(M195)),L195*M195/100,"")</f>
      </c>
      <c r="O195"/>
    </row>
    <row r="196">
      <c r="A196"/>
      <c r="B196"/>
      <c r="C196"/>
      <c r="D196"/>
      <c r="E196"/>
      <c r="F196"/>
      <c r="G196"/>
      <c r="H196"/>
      <c r="I196" t="inlineStr">
        <is>
          <t>No empezada</t>
        </is>
      </c>
      <c r="J196" t="inlineStr">
        <is>
          <t>Pendiente</t>
        </is>
      </c>
      <c r="K196"/>
      <c r="L196"/>
      <c r="M196"/>
      <c r="N196">
        <f>IF(AND(ISNUMBER(L196),ISNUMBER(M196)),L196*M196/100,"")</f>
      </c>
      <c r="O196"/>
    </row>
    <row r="197">
      <c r="A197"/>
      <c r="B197"/>
      <c r="C197"/>
      <c r="D197"/>
      <c r="E197"/>
      <c r="F197"/>
      <c r="G197"/>
      <c r="H197"/>
      <c r="I197" t="inlineStr">
        <is>
          <t>No empezada</t>
        </is>
      </c>
      <c r="J197" t="inlineStr">
        <is>
          <t>Pendiente</t>
        </is>
      </c>
      <c r="K197"/>
      <c r="L197"/>
      <c r="M197"/>
      <c r="N197">
        <f>IF(AND(ISNUMBER(L197),ISNUMBER(M197)),L197*M197/100,"")</f>
      </c>
      <c r="O197"/>
    </row>
    <row r="198">
      <c r="A198"/>
      <c r="B198"/>
      <c r="C198"/>
      <c r="D198"/>
      <c r="E198"/>
      <c r="F198"/>
      <c r="G198"/>
      <c r="H198"/>
      <c r="I198" t="inlineStr">
        <is>
          <t>No empezada</t>
        </is>
      </c>
      <c r="J198" t="inlineStr">
        <is>
          <t>Pendiente</t>
        </is>
      </c>
      <c r="K198"/>
      <c r="L198"/>
      <c r="M198"/>
      <c r="N198">
        <f>IF(AND(ISNUMBER(L198),ISNUMBER(M198)),L198*M198/100,"")</f>
      </c>
      <c r="O198"/>
    </row>
    <row r="199">
      <c r="A199"/>
      <c r="B199"/>
      <c r="C199"/>
      <c r="D199"/>
      <c r="E199"/>
      <c r="F199"/>
      <c r="G199"/>
      <c r="H199"/>
      <c r="I199" t="inlineStr">
        <is>
          <t>No empezada</t>
        </is>
      </c>
      <c r="J199" t="inlineStr">
        <is>
          <t>Pendiente</t>
        </is>
      </c>
      <c r="K199"/>
      <c r="L199"/>
      <c r="M199"/>
      <c r="N199">
        <f>IF(AND(ISNUMBER(L199),ISNUMBER(M199)),L199*M199/100,"")</f>
      </c>
      <c r="O199"/>
    </row>
    <row r="200">
      <c r="A200"/>
      <c r="B200"/>
      <c r="C200"/>
      <c r="D200"/>
      <c r="E200"/>
      <c r="F200"/>
      <c r="G200"/>
      <c r="H200"/>
      <c r="I200" t="inlineStr">
        <is>
          <t>No empezada</t>
        </is>
      </c>
      <c r="J200" t="inlineStr">
        <is>
          <t>Pendiente</t>
        </is>
      </c>
      <c r="K200"/>
      <c r="L200"/>
      <c r="M200"/>
      <c r="N200">
        <f>IF(AND(ISNUMBER(L200),ISNUMBER(M200)),L200*M200/100,"")</f>
      </c>
      <c r="O200"/>
    </row>
    <row r="201">
      <c r="A201"/>
      <c r="B201"/>
      <c r="C201"/>
      <c r="D201"/>
      <c r="E201"/>
      <c r="F201"/>
      <c r="G201"/>
      <c r="H201"/>
      <c r="I201" t="inlineStr">
        <is>
          <t>No empezada</t>
        </is>
      </c>
      <c r="J201" t="inlineStr">
        <is>
          <t>Pendiente</t>
        </is>
      </c>
      <c r="K201"/>
      <c r="L201"/>
      <c r="M201"/>
      <c r="N201">
        <f>IF(AND(ISNUMBER(L201),ISNUMBER(M201)),L201*M201/100,"")</f>
      </c>
      <c r="O201"/>
    </row>
    <row r="202">
      <c r="A202"/>
      <c r="B202"/>
      <c r="C202"/>
      <c r="D202"/>
      <c r="E202"/>
      <c r="F202"/>
      <c r="G202"/>
      <c r="H202"/>
      <c r="I202" t="inlineStr">
        <is>
          <t>No empezada</t>
        </is>
      </c>
      <c r="J202" t="inlineStr">
        <is>
          <t>Pendiente</t>
        </is>
      </c>
      <c r="K202"/>
      <c r="L202"/>
      <c r="M202"/>
      <c r="N202">
        <f>IF(AND(ISNUMBER(L202),ISNUMBER(M202)),L202*M202/100,"")</f>
      </c>
      <c r="O202"/>
    </row>
    <row r="203">
      <c r="A203"/>
      <c r="B203"/>
      <c r="C203"/>
      <c r="D203"/>
      <c r="E203"/>
      <c r="F203"/>
      <c r="G203"/>
      <c r="H203"/>
      <c r="I203" t="inlineStr">
        <is>
          <t>No empezada</t>
        </is>
      </c>
      <c r="J203" t="inlineStr">
        <is>
          <t>Pendiente</t>
        </is>
      </c>
      <c r="K203"/>
      <c r="L203"/>
      <c r="M203"/>
      <c r="N203">
        <f>IF(AND(ISNUMBER(L203),ISNUMBER(M203)),L203*M203/100,"")</f>
      </c>
      <c r="O203"/>
    </row>
    <row r="204">
      <c r="A204"/>
      <c r="B204"/>
      <c r="C204"/>
      <c r="D204"/>
      <c r="E204"/>
      <c r="F204"/>
      <c r="G204"/>
      <c r="H204"/>
      <c r="I204" t="inlineStr">
        <is>
          <t>No empezada</t>
        </is>
      </c>
      <c r="J204" t="inlineStr">
        <is>
          <t>Pendiente</t>
        </is>
      </c>
      <c r="K204"/>
      <c r="L204"/>
      <c r="M204"/>
      <c r="N204">
        <f>IF(AND(ISNUMBER(L204),ISNUMBER(M204)),L204*M204/100,"")</f>
      </c>
      <c r="O204"/>
    </row>
    <row r="205">
      <c r="A205"/>
      <c r="B205"/>
      <c r="C205"/>
      <c r="D205"/>
      <c r="E205"/>
      <c r="F205"/>
      <c r="G205"/>
      <c r="H205"/>
      <c r="I205" t="inlineStr">
        <is>
          <t>No empezada</t>
        </is>
      </c>
      <c r="J205" t="inlineStr">
        <is>
          <t>Pendiente</t>
        </is>
      </c>
      <c r="K205"/>
      <c r="L205"/>
      <c r="M205"/>
      <c r="N205">
        <f>IF(AND(ISNUMBER(L205),ISNUMBER(M205)),L205*M205/100,"")</f>
      </c>
      <c r="O205"/>
    </row>
    <row r="206">
      <c r="A206"/>
      <c r="B206"/>
      <c r="C206"/>
      <c r="D206"/>
      <c r="E206"/>
      <c r="F206"/>
      <c r="G206"/>
      <c r="H206"/>
      <c r="I206" t="inlineStr">
        <is>
          <t>No empezada</t>
        </is>
      </c>
      <c r="J206" t="inlineStr">
        <is>
          <t>Pendiente</t>
        </is>
      </c>
      <c r="K206"/>
      <c r="L206"/>
      <c r="M206"/>
      <c r="N206">
        <f>IF(AND(ISNUMBER(L206),ISNUMBER(M206)),L206*M206/100,"")</f>
      </c>
      <c r="O206"/>
    </row>
    <row r="207">
      <c r="A207"/>
      <c r="B207"/>
      <c r="C207"/>
      <c r="D207"/>
      <c r="E207"/>
      <c r="F207"/>
      <c r="G207"/>
      <c r="H207"/>
      <c r="I207" t="inlineStr">
        <is>
          <t>No empezada</t>
        </is>
      </c>
      <c r="J207" t="inlineStr">
        <is>
          <t>Pendiente</t>
        </is>
      </c>
      <c r="K207"/>
      <c r="L207"/>
      <c r="M207"/>
      <c r="N207">
        <f>IF(AND(ISNUMBER(L207),ISNUMBER(M207)),L207*M207/100,"")</f>
      </c>
      <c r="O207"/>
    </row>
    <row r="208">
      <c r="A208"/>
      <c r="B208"/>
      <c r="C208"/>
      <c r="D208"/>
      <c r="E208"/>
      <c r="F208"/>
      <c r="G208"/>
      <c r="H208"/>
      <c r="I208" t="inlineStr">
        <is>
          <t>No empezada</t>
        </is>
      </c>
      <c r="J208" t="inlineStr">
        <is>
          <t>Pendiente</t>
        </is>
      </c>
      <c r="K208"/>
      <c r="L208"/>
      <c r="M208"/>
      <c r="N208">
        <f>IF(AND(ISNUMBER(L208),ISNUMBER(M208)),L208*M208/100,"")</f>
      </c>
      <c r="O208"/>
    </row>
    <row r="209">
      <c r="A209"/>
      <c r="B209"/>
      <c r="C209"/>
      <c r="D209"/>
      <c r="E209"/>
      <c r="F209"/>
      <c r="G209"/>
      <c r="H209"/>
      <c r="I209" t="inlineStr">
        <is>
          <t>No empezada</t>
        </is>
      </c>
      <c r="J209" t="inlineStr">
        <is>
          <t>Pendiente</t>
        </is>
      </c>
      <c r="K209"/>
      <c r="L209"/>
      <c r="M209"/>
      <c r="N209">
        <f>IF(AND(ISNUMBER(L209),ISNUMBER(M209)),L209*M209/100,"")</f>
      </c>
      <c r="O209"/>
    </row>
    <row r="210">
      <c r="A210"/>
      <c r="B210"/>
      <c r="C210"/>
      <c r="D210"/>
      <c r="E210"/>
      <c r="F210"/>
      <c r="G210"/>
      <c r="H210"/>
      <c r="I210" t="inlineStr">
        <is>
          <t>No empezada</t>
        </is>
      </c>
      <c r="J210" t="inlineStr">
        <is>
          <t>Pendiente</t>
        </is>
      </c>
      <c r="K210"/>
      <c r="L210"/>
      <c r="M210"/>
      <c r="N210">
        <f>IF(AND(ISNUMBER(L210),ISNUMBER(M210)),L210*M210/100,"")</f>
      </c>
      <c r="O210"/>
    </row>
    <row r="211">
      <c r="A211"/>
      <c r="B211"/>
      <c r="C211"/>
      <c r="D211"/>
      <c r="E211"/>
      <c r="F211"/>
      <c r="G211"/>
      <c r="H211"/>
      <c r="I211" t="inlineStr">
        <is>
          <t>No empezada</t>
        </is>
      </c>
      <c r="J211" t="inlineStr">
        <is>
          <t>Pendiente</t>
        </is>
      </c>
      <c r="K211"/>
      <c r="L211"/>
      <c r="M211"/>
      <c r="N211">
        <f>IF(AND(ISNUMBER(L211),ISNUMBER(M211)),L211*M211/100,"")</f>
      </c>
      <c r="O211"/>
    </row>
    <row r="212">
      <c r="A212"/>
      <c r="B212"/>
      <c r="C212"/>
      <c r="D212"/>
      <c r="E212"/>
      <c r="F212"/>
      <c r="G212"/>
      <c r="H212"/>
      <c r="I212" t="inlineStr">
        <is>
          <t>No empezada</t>
        </is>
      </c>
      <c r="J212" t="inlineStr">
        <is>
          <t>Pendiente</t>
        </is>
      </c>
      <c r="K212"/>
      <c r="L212"/>
      <c r="M212"/>
      <c r="N212">
        <f>IF(AND(ISNUMBER(L212),ISNUMBER(M212)),L212*M212/100,"")</f>
      </c>
      <c r="O212"/>
    </row>
    <row r="213">
      <c r="A213"/>
      <c r="B213"/>
      <c r="C213"/>
      <c r="D213"/>
      <c r="E213"/>
      <c r="F213"/>
      <c r="G213"/>
      <c r="H213"/>
      <c r="I213" t="inlineStr">
        <is>
          <t>No empezada</t>
        </is>
      </c>
      <c r="J213" t="inlineStr">
        <is>
          <t>Pendiente</t>
        </is>
      </c>
      <c r="K213"/>
      <c r="L213"/>
      <c r="M213"/>
      <c r="N213">
        <f>IF(AND(ISNUMBER(L213),ISNUMBER(M213)),L213*M213/100,"")</f>
      </c>
      <c r="O213"/>
    </row>
    <row r="214">
      <c r="A214"/>
      <c r="B214"/>
      <c r="C214"/>
      <c r="D214"/>
      <c r="E214"/>
      <c r="F214"/>
      <c r="G214"/>
      <c r="H214"/>
      <c r="I214" t="inlineStr">
        <is>
          <t>No empezada</t>
        </is>
      </c>
      <c r="J214" t="inlineStr">
        <is>
          <t>Pendiente</t>
        </is>
      </c>
      <c r="K214"/>
      <c r="L214"/>
      <c r="M214"/>
      <c r="N214">
        <f>IF(AND(ISNUMBER(L214),ISNUMBER(M214)),L214*M214/100,"")</f>
      </c>
      <c r="O214"/>
    </row>
    <row r="215">
      <c r="A215"/>
      <c r="B215"/>
      <c r="C215"/>
      <c r="D215"/>
      <c r="E215"/>
      <c r="F215"/>
      <c r="G215"/>
      <c r="H215"/>
      <c r="I215" t="inlineStr">
        <is>
          <t>No empezada</t>
        </is>
      </c>
      <c r="J215" t="inlineStr">
        <is>
          <t>Pendiente</t>
        </is>
      </c>
      <c r="K215"/>
      <c r="L215"/>
      <c r="M215"/>
      <c r="N215">
        <f>IF(AND(ISNUMBER(L215),ISNUMBER(M215)),L215*M215/100,"")</f>
      </c>
      <c r="O215"/>
    </row>
    <row r="216">
      <c r="A216"/>
      <c r="B216"/>
      <c r="C216"/>
      <c r="D216"/>
      <c r="E216"/>
      <c r="F216"/>
      <c r="G216"/>
      <c r="H216"/>
      <c r="I216" t="inlineStr">
        <is>
          <t>No empezada</t>
        </is>
      </c>
      <c r="J216" t="inlineStr">
        <is>
          <t>Pendiente</t>
        </is>
      </c>
      <c r="K216"/>
      <c r="L216"/>
      <c r="M216"/>
      <c r="N216">
        <f>IF(AND(ISNUMBER(L216),ISNUMBER(M216)),L216*M216/100,"")</f>
      </c>
      <c r="O216"/>
    </row>
    <row r="217">
      <c r="A217"/>
      <c r="B217"/>
      <c r="C217"/>
      <c r="D217"/>
      <c r="E217"/>
      <c r="F217"/>
      <c r="G217"/>
      <c r="H217"/>
      <c r="I217" t="inlineStr">
        <is>
          <t>No empezada</t>
        </is>
      </c>
      <c r="J217" t="inlineStr">
        <is>
          <t>Pendiente</t>
        </is>
      </c>
      <c r="K217"/>
      <c r="L217"/>
      <c r="M217"/>
      <c r="N217">
        <f>IF(AND(ISNUMBER(L217),ISNUMBER(M217)),L217*M217/100,"")</f>
      </c>
      <c r="O217"/>
    </row>
    <row r="218">
      <c r="A218"/>
      <c r="B218"/>
      <c r="C218"/>
      <c r="D218"/>
      <c r="E218"/>
      <c r="F218"/>
      <c r="G218"/>
      <c r="H218"/>
      <c r="I218" t="inlineStr">
        <is>
          <t>No empezada</t>
        </is>
      </c>
      <c r="J218" t="inlineStr">
        <is>
          <t>Pendiente</t>
        </is>
      </c>
      <c r="K218"/>
      <c r="L218"/>
      <c r="M218"/>
      <c r="N218">
        <f>IF(AND(ISNUMBER(L218),ISNUMBER(M218)),L218*M218/100,"")</f>
      </c>
      <c r="O218"/>
    </row>
    <row r="219">
      <c r="A219"/>
      <c r="B219"/>
      <c r="C219"/>
      <c r="D219"/>
      <c r="E219"/>
      <c r="F219"/>
      <c r="G219"/>
      <c r="H219"/>
      <c r="I219" t="inlineStr">
        <is>
          <t>No empezada</t>
        </is>
      </c>
      <c r="J219" t="inlineStr">
        <is>
          <t>Pendiente</t>
        </is>
      </c>
      <c r="K219"/>
      <c r="L219"/>
      <c r="M219"/>
      <c r="N219">
        <f>IF(AND(ISNUMBER(L219),ISNUMBER(M219)),L219*M219/100,"")</f>
      </c>
      <c r="O219"/>
    </row>
    <row r="220">
      <c r="A220"/>
      <c r="B220"/>
      <c r="C220"/>
      <c r="D220"/>
      <c r="E220"/>
      <c r="F220"/>
      <c r="G220"/>
      <c r="H220"/>
      <c r="I220" t="inlineStr">
        <is>
          <t>No empezada</t>
        </is>
      </c>
      <c r="J220" t="inlineStr">
        <is>
          <t>Pendiente</t>
        </is>
      </c>
      <c r="K220"/>
      <c r="L220"/>
      <c r="M220"/>
      <c r="N220">
        <f>IF(AND(ISNUMBER(L220),ISNUMBER(M220)),L220*M220/100,"")</f>
      </c>
      <c r="O220"/>
    </row>
    <row r="221">
      <c r="A221"/>
      <c r="B221"/>
      <c r="C221"/>
      <c r="D221"/>
      <c r="E221"/>
      <c r="F221"/>
      <c r="G221"/>
      <c r="H221"/>
      <c r="I221" t="inlineStr">
        <is>
          <t>No empezada</t>
        </is>
      </c>
      <c r="J221" t="inlineStr">
        <is>
          <t>Pendiente</t>
        </is>
      </c>
      <c r="K221"/>
      <c r="L221"/>
      <c r="M221"/>
      <c r="N221">
        <f>IF(AND(ISNUMBER(L221),ISNUMBER(M221)),L221*M221/100,"")</f>
      </c>
      <c r="O221"/>
    </row>
    <row r="222">
      <c r="A222"/>
      <c r="B222"/>
      <c r="C222"/>
      <c r="D222"/>
      <c r="E222"/>
      <c r="F222"/>
      <c r="G222"/>
      <c r="H222"/>
      <c r="I222" t="inlineStr">
        <is>
          <t>No empezada</t>
        </is>
      </c>
      <c r="J222" t="inlineStr">
        <is>
          <t>Pendiente</t>
        </is>
      </c>
      <c r="K222"/>
      <c r="L222"/>
      <c r="M222"/>
      <c r="N222">
        <f>IF(AND(ISNUMBER(L222),ISNUMBER(M222)),L222*M222/100,"")</f>
      </c>
      <c r="O222"/>
    </row>
    <row r="223">
      <c r="A223"/>
      <c r="B223"/>
      <c r="C223"/>
      <c r="D223"/>
      <c r="E223"/>
      <c r="F223"/>
      <c r="G223"/>
      <c r="H223"/>
      <c r="I223" t="inlineStr">
        <is>
          <t>No empezada</t>
        </is>
      </c>
      <c r="J223" t="inlineStr">
        <is>
          <t>Pendiente</t>
        </is>
      </c>
      <c r="K223"/>
      <c r="L223"/>
      <c r="M223"/>
      <c r="N223">
        <f>IF(AND(ISNUMBER(L223),ISNUMBER(M223)),L223*M223/100,"")</f>
      </c>
      <c r="O223"/>
    </row>
    <row r="224">
      <c r="A224"/>
      <c r="B224"/>
      <c r="C224"/>
      <c r="D224"/>
      <c r="E224"/>
      <c r="F224"/>
      <c r="G224"/>
      <c r="H224"/>
      <c r="I224" t="inlineStr">
        <is>
          <t>No empezada</t>
        </is>
      </c>
      <c r="J224" t="inlineStr">
        <is>
          <t>Pendiente</t>
        </is>
      </c>
      <c r="K224"/>
      <c r="L224"/>
      <c r="M224"/>
      <c r="N224">
        <f>IF(AND(ISNUMBER(L224),ISNUMBER(M224)),L224*M224/100,"")</f>
      </c>
      <c r="O224"/>
    </row>
    <row r="225">
      <c r="A225"/>
      <c r="B225"/>
      <c r="C225"/>
      <c r="D225"/>
      <c r="E225"/>
      <c r="F225"/>
      <c r="G225"/>
      <c r="H225"/>
      <c r="I225" t="inlineStr">
        <is>
          <t>No empezada</t>
        </is>
      </c>
      <c r="J225" t="inlineStr">
        <is>
          <t>Pendiente</t>
        </is>
      </c>
      <c r="K225"/>
      <c r="L225"/>
      <c r="M225"/>
      <c r="N225">
        <f>IF(AND(ISNUMBER(L225),ISNUMBER(M225)),L225*M225/100,"")</f>
      </c>
      <c r="O225"/>
    </row>
    <row r="226">
      <c r="A226"/>
      <c r="B226"/>
      <c r="C226"/>
      <c r="D226"/>
      <c r="E226"/>
      <c r="F226"/>
      <c r="G226"/>
      <c r="H226"/>
      <c r="I226" t="inlineStr">
        <is>
          <t>No empezada</t>
        </is>
      </c>
      <c r="J226" t="inlineStr">
        <is>
          <t>Pendiente</t>
        </is>
      </c>
      <c r="K226"/>
      <c r="L226"/>
      <c r="M226"/>
      <c r="N226">
        <f>IF(AND(ISNUMBER(L226),ISNUMBER(M226)),L226*M226/100,"")</f>
      </c>
      <c r="O226"/>
    </row>
    <row r="227">
      <c r="A227"/>
      <c r="B227"/>
      <c r="C227"/>
      <c r="D227"/>
      <c r="E227"/>
      <c r="F227"/>
      <c r="G227"/>
      <c r="H227"/>
      <c r="I227" t="inlineStr">
        <is>
          <t>No empezada</t>
        </is>
      </c>
      <c r="J227" t="inlineStr">
        <is>
          <t>Pendiente</t>
        </is>
      </c>
      <c r="K227"/>
      <c r="L227"/>
      <c r="M227"/>
      <c r="N227">
        <f>IF(AND(ISNUMBER(L227),ISNUMBER(M227)),L227*M227/100,"")</f>
      </c>
      <c r="O227"/>
    </row>
    <row r="228">
      <c r="A228"/>
      <c r="B228"/>
      <c r="C228"/>
      <c r="D228"/>
      <c r="E228"/>
      <c r="F228"/>
      <c r="G228"/>
      <c r="H228"/>
      <c r="I228" t="inlineStr">
        <is>
          <t>No empezada</t>
        </is>
      </c>
      <c r="J228" t="inlineStr">
        <is>
          <t>Pendiente</t>
        </is>
      </c>
      <c r="K228"/>
      <c r="L228"/>
      <c r="M228"/>
      <c r="N228">
        <f>IF(AND(ISNUMBER(L228),ISNUMBER(M228)),L228*M228/100,"")</f>
      </c>
      <c r="O228"/>
    </row>
    <row r="229">
      <c r="A229"/>
      <c r="B229"/>
      <c r="C229"/>
      <c r="D229"/>
      <c r="E229"/>
      <c r="F229"/>
      <c r="G229"/>
      <c r="H229"/>
      <c r="I229" t="inlineStr">
        <is>
          <t>No empezada</t>
        </is>
      </c>
      <c r="J229" t="inlineStr">
        <is>
          <t>Pendiente</t>
        </is>
      </c>
      <c r="K229"/>
      <c r="L229"/>
      <c r="M229"/>
      <c r="N229">
        <f>IF(AND(ISNUMBER(L229),ISNUMBER(M229)),L229*M229/100,"")</f>
      </c>
      <c r="O229"/>
    </row>
    <row r="230">
      <c r="A230"/>
      <c r="B230"/>
      <c r="C230"/>
      <c r="D230"/>
      <c r="E230"/>
      <c r="F230"/>
      <c r="G230"/>
      <c r="H230"/>
      <c r="I230" t="inlineStr">
        <is>
          <t>No empezada</t>
        </is>
      </c>
      <c r="J230" t="inlineStr">
        <is>
          <t>Pendiente</t>
        </is>
      </c>
      <c r="K230"/>
      <c r="L230"/>
      <c r="M230"/>
      <c r="N230">
        <f>IF(AND(ISNUMBER(L230),ISNUMBER(M230)),L230*M230/100,"")</f>
      </c>
      <c r="O230"/>
    </row>
    <row r="231">
      <c r="A231"/>
      <c r="B231"/>
      <c r="C231"/>
      <c r="D231"/>
      <c r="E231"/>
      <c r="F231"/>
      <c r="G231"/>
      <c r="H231"/>
      <c r="I231" t="inlineStr">
        <is>
          <t>No empezada</t>
        </is>
      </c>
      <c r="J231" t="inlineStr">
        <is>
          <t>Pendiente</t>
        </is>
      </c>
      <c r="K231"/>
      <c r="L231"/>
      <c r="M231"/>
      <c r="N231">
        <f>IF(AND(ISNUMBER(L231),ISNUMBER(M231)),L231*M231/100,"")</f>
      </c>
      <c r="O231"/>
    </row>
    <row r="232">
      <c r="A232"/>
      <c r="B232"/>
      <c r="C232"/>
      <c r="D232"/>
      <c r="E232"/>
      <c r="F232"/>
      <c r="G232"/>
      <c r="H232"/>
      <c r="I232" t="inlineStr">
        <is>
          <t>No empezada</t>
        </is>
      </c>
      <c r="J232" t="inlineStr">
        <is>
          <t>Pendiente</t>
        </is>
      </c>
      <c r="K232"/>
      <c r="L232"/>
      <c r="M232"/>
      <c r="N232">
        <f>IF(AND(ISNUMBER(L232),ISNUMBER(M232)),L232*M232/100,"")</f>
      </c>
      <c r="O232"/>
    </row>
    <row r="233">
      <c r="A233"/>
      <c r="B233"/>
      <c r="C233"/>
      <c r="D233"/>
      <c r="E233"/>
      <c r="F233"/>
      <c r="G233"/>
      <c r="H233"/>
      <c r="I233" t="inlineStr">
        <is>
          <t>No empezada</t>
        </is>
      </c>
      <c r="J233" t="inlineStr">
        <is>
          <t>Pendiente</t>
        </is>
      </c>
      <c r="K233"/>
      <c r="L233"/>
      <c r="M233"/>
      <c r="N233">
        <f>IF(AND(ISNUMBER(L233),ISNUMBER(M233)),L233*M233/100,"")</f>
      </c>
      <c r="O233"/>
    </row>
    <row r="234">
      <c r="A234"/>
      <c r="B234"/>
      <c r="C234"/>
      <c r="D234"/>
      <c r="E234"/>
      <c r="F234"/>
      <c r="G234"/>
      <c r="H234"/>
      <c r="I234" t="inlineStr">
        <is>
          <t>No empezada</t>
        </is>
      </c>
      <c r="J234" t="inlineStr">
        <is>
          <t>Pendiente</t>
        </is>
      </c>
      <c r="K234"/>
      <c r="L234"/>
      <c r="M234"/>
      <c r="N234">
        <f>IF(AND(ISNUMBER(L234),ISNUMBER(M234)),L234*M234/100,"")</f>
      </c>
      <c r="O234"/>
    </row>
    <row r="235">
      <c r="A235"/>
      <c r="B235"/>
      <c r="C235"/>
      <c r="D235"/>
      <c r="E235"/>
      <c r="F235"/>
      <c r="G235"/>
      <c r="H235"/>
      <c r="I235" t="inlineStr">
        <is>
          <t>No empezada</t>
        </is>
      </c>
      <c r="J235" t="inlineStr">
        <is>
          <t>Pendiente</t>
        </is>
      </c>
      <c r="K235"/>
      <c r="L235"/>
      <c r="M235"/>
      <c r="N235">
        <f>IF(AND(ISNUMBER(L235),ISNUMBER(M235)),L235*M235/100,"")</f>
      </c>
      <c r="O235"/>
    </row>
    <row r="236">
      <c r="A236"/>
      <c r="B236"/>
      <c r="C236"/>
      <c r="D236"/>
      <c r="E236"/>
      <c r="F236"/>
      <c r="G236"/>
      <c r="H236"/>
      <c r="I236" t="inlineStr">
        <is>
          <t>No empezada</t>
        </is>
      </c>
      <c r="J236" t="inlineStr">
        <is>
          <t>Pendiente</t>
        </is>
      </c>
      <c r="K236"/>
      <c r="L236"/>
      <c r="M236"/>
      <c r="N236">
        <f>IF(AND(ISNUMBER(L236),ISNUMBER(M236)),L236*M236/100,"")</f>
      </c>
      <c r="O236"/>
    </row>
    <row r="237">
      <c r="A237"/>
      <c r="B237"/>
      <c r="C237"/>
      <c r="D237"/>
      <c r="E237"/>
      <c r="F237"/>
      <c r="G237"/>
      <c r="H237"/>
      <c r="I237" t="inlineStr">
        <is>
          <t>No empezada</t>
        </is>
      </c>
      <c r="J237" t="inlineStr">
        <is>
          <t>Pendiente</t>
        </is>
      </c>
      <c r="K237"/>
      <c r="L237"/>
      <c r="M237"/>
      <c r="N237">
        <f>IF(AND(ISNUMBER(L237),ISNUMBER(M237)),L237*M237/100,"")</f>
      </c>
      <c r="O237"/>
    </row>
    <row r="238">
      <c r="A238"/>
      <c r="B238"/>
      <c r="C238"/>
      <c r="D238"/>
      <c r="E238"/>
      <c r="F238"/>
      <c r="G238"/>
      <c r="H238"/>
      <c r="I238" t="inlineStr">
        <is>
          <t>No empezada</t>
        </is>
      </c>
      <c r="J238" t="inlineStr">
        <is>
          <t>Pendiente</t>
        </is>
      </c>
      <c r="K238"/>
      <c r="L238"/>
      <c r="M238"/>
      <c r="N238">
        <f>IF(AND(ISNUMBER(L238),ISNUMBER(M238)),L238*M238/100,"")</f>
      </c>
      <c r="O238"/>
    </row>
    <row r="239">
      <c r="A239"/>
      <c r="B239"/>
      <c r="C239"/>
      <c r="D239"/>
      <c r="E239"/>
      <c r="F239"/>
      <c r="G239"/>
      <c r="H239"/>
      <c r="I239" t="inlineStr">
        <is>
          <t>No empezada</t>
        </is>
      </c>
      <c r="J239" t="inlineStr">
        <is>
          <t>Pendiente</t>
        </is>
      </c>
      <c r="K239"/>
      <c r="L239"/>
      <c r="M239"/>
      <c r="N239">
        <f>IF(AND(ISNUMBER(L239),ISNUMBER(M239)),L239*M239/100,"")</f>
      </c>
      <c r="O239"/>
    </row>
    <row r="240">
      <c r="A240"/>
      <c r="B240"/>
      <c r="C240"/>
      <c r="D240"/>
      <c r="E240"/>
      <c r="F240"/>
      <c r="G240"/>
      <c r="H240"/>
      <c r="I240" t="inlineStr">
        <is>
          <t>No empezada</t>
        </is>
      </c>
      <c r="J240" t="inlineStr">
        <is>
          <t>Pendiente</t>
        </is>
      </c>
      <c r="K240"/>
      <c r="L240"/>
      <c r="M240"/>
      <c r="N240">
        <f>IF(AND(ISNUMBER(L240),ISNUMBER(M240)),L240*M240/100,"")</f>
      </c>
      <c r="O240"/>
    </row>
    <row r="241">
      <c r="A241"/>
      <c r="B241"/>
      <c r="C241"/>
      <c r="D241"/>
      <c r="E241"/>
      <c r="F241"/>
      <c r="G241"/>
      <c r="H241"/>
      <c r="I241" t="inlineStr">
        <is>
          <t>No empezada</t>
        </is>
      </c>
      <c r="J241" t="inlineStr">
        <is>
          <t>Pendiente</t>
        </is>
      </c>
      <c r="K241"/>
      <c r="L241"/>
      <c r="M241"/>
      <c r="N241">
        <f>IF(AND(ISNUMBER(L241),ISNUMBER(M241)),L241*M241/100,"")</f>
      </c>
      <c r="O241"/>
    </row>
    <row r="242">
      <c r="A242"/>
      <c r="B242"/>
      <c r="C242"/>
      <c r="D242"/>
      <c r="E242"/>
      <c r="F242"/>
      <c r="G242"/>
      <c r="H242"/>
      <c r="I242" t="inlineStr">
        <is>
          <t>No empezada</t>
        </is>
      </c>
      <c r="J242" t="inlineStr">
        <is>
          <t>Pendiente</t>
        </is>
      </c>
      <c r="K242"/>
      <c r="L242"/>
      <c r="M242"/>
      <c r="N242">
        <f>IF(AND(ISNUMBER(L242),ISNUMBER(M242)),L242*M242/100,"")</f>
      </c>
      <c r="O242"/>
    </row>
    <row r="243">
      <c r="A243"/>
      <c r="B243"/>
      <c r="C243"/>
      <c r="D243"/>
      <c r="E243"/>
      <c r="F243"/>
      <c r="G243"/>
      <c r="H243"/>
      <c r="I243" t="inlineStr">
        <is>
          <t>No empezada</t>
        </is>
      </c>
      <c r="J243" t="inlineStr">
        <is>
          <t>Pendiente</t>
        </is>
      </c>
      <c r="K243"/>
      <c r="L243"/>
      <c r="M243"/>
      <c r="N243">
        <f>IF(AND(ISNUMBER(L243),ISNUMBER(M243)),L243*M243/100,"")</f>
      </c>
      <c r="O243"/>
    </row>
    <row r="244">
      <c r="A244"/>
      <c r="B244"/>
      <c r="C244"/>
      <c r="D244"/>
      <c r="E244"/>
      <c r="F244"/>
      <c r="G244"/>
      <c r="H244"/>
      <c r="I244" t="inlineStr">
        <is>
          <t>No empezada</t>
        </is>
      </c>
      <c r="J244" t="inlineStr">
        <is>
          <t>Pendiente</t>
        </is>
      </c>
      <c r="K244"/>
      <c r="L244"/>
      <c r="M244"/>
      <c r="N244">
        <f>IF(AND(ISNUMBER(L244),ISNUMBER(M244)),L244*M244/100,"")</f>
      </c>
      <c r="O244"/>
    </row>
    <row r="245">
      <c r="A245"/>
      <c r="B245"/>
      <c r="C245"/>
      <c r="D245"/>
      <c r="E245"/>
      <c r="F245"/>
      <c r="G245"/>
      <c r="H245"/>
      <c r="I245" t="inlineStr">
        <is>
          <t>No empezada</t>
        </is>
      </c>
      <c r="J245" t="inlineStr">
        <is>
          <t>Pendiente</t>
        </is>
      </c>
      <c r="K245"/>
      <c r="L245"/>
      <c r="M245"/>
      <c r="N245">
        <f>IF(AND(ISNUMBER(L245),ISNUMBER(M245)),L245*M245/100,"")</f>
      </c>
      <c r="O245"/>
    </row>
    <row r="246">
      <c r="A246"/>
      <c r="B246"/>
      <c r="C246"/>
      <c r="D246"/>
      <c r="E246"/>
      <c r="F246"/>
      <c r="G246"/>
      <c r="H246"/>
      <c r="I246" t="inlineStr">
        <is>
          <t>No empezada</t>
        </is>
      </c>
      <c r="J246" t="inlineStr">
        <is>
          <t>Pendiente</t>
        </is>
      </c>
      <c r="K246"/>
      <c r="L246"/>
      <c r="M246"/>
      <c r="N246">
        <f>IF(AND(ISNUMBER(L246),ISNUMBER(M246)),L246*M246/100,"")</f>
      </c>
      <c r="O246"/>
    </row>
    <row r="247">
      <c r="A247"/>
      <c r="B247"/>
      <c r="C247"/>
      <c r="D247"/>
      <c r="E247"/>
      <c r="F247"/>
      <c r="G247"/>
      <c r="H247"/>
      <c r="I247" t="inlineStr">
        <is>
          <t>No empezada</t>
        </is>
      </c>
      <c r="J247" t="inlineStr">
        <is>
          <t>Pendiente</t>
        </is>
      </c>
      <c r="K247"/>
      <c r="L247"/>
      <c r="M247"/>
      <c r="N247">
        <f>IF(AND(ISNUMBER(L247),ISNUMBER(M247)),L247*M247/100,"")</f>
      </c>
      <c r="O247"/>
    </row>
    <row r="248">
      <c r="A248"/>
      <c r="B248"/>
      <c r="C248"/>
      <c r="D248"/>
      <c r="E248"/>
      <c r="F248"/>
      <c r="G248"/>
      <c r="H248"/>
      <c r="I248" t="inlineStr">
        <is>
          <t>No empezada</t>
        </is>
      </c>
      <c r="J248" t="inlineStr">
        <is>
          <t>Pendiente</t>
        </is>
      </c>
      <c r="K248"/>
      <c r="L248"/>
      <c r="M248"/>
      <c r="N248">
        <f>IF(AND(ISNUMBER(L248),ISNUMBER(M248)),L248*M248/100,"")</f>
      </c>
      <c r="O248"/>
    </row>
    <row r="249">
      <c r="A249"/>
      <c r="B249"/>
      <c r="C249"/>
      <c r="D249"/>
      <c r="E249"/>
      <c r="F249"/>
      <c r="G249"/>
      <c r="H249"/>
      <c r="I249" t="inlineStr">
        <is>
          <t>No empezada</t>
        </is>
      </c>
      <c r="J249" t="inlineStr">
        <is>
          <t>Pendiente</t>
        </is>
      </c>
      <c r="K249"/>
      <c r="L249"/>
      <c r="M249"/>
      <c r="N249">
        <f>IF(AND(ISNUMBER(L249),ISNUMBER(M249)),L249*M249/100,"")</f>
      </c>
      <c r="O249"/>
    </row>
    <row r="250">
      <c r="A250"/>
      <c r="B250"/>
      <c r="C250"/>
      <c r="D250"/>
      <c r="E250"/>
      <c r="F250"/>
      <c r="G250"/>
      <c r="H250"/>
      <c r="I250" t="inlineStr">
        <is>
          <t>No empezada</t>
        </is>
      </c>
      <c r="J250" t="inlineStr">
        <is>
          <t>Pendiente</t>
        </is>
      </c>
      <c r="K250"/>
      <c r="L250"/>
      <c r="M250"/>
      <c r="N250">
        <f>IF(AND(ISNUMBER(L250),ISNUMBER(M250)),L250*M250/100,"")</f>
      </c>
      <c r="O250"/>
    </row>
    <row r="251">
      <c r="A251"/>
      <c r="B251"/>
      <c r="C251"/>
      <c r="D251"/>
      <c r="E251"/>
      <c r="F251"/>
      <c r="G251"/>
      <c r="H251"/>
      <c r="I251" t="inlineStr">
        <is>
          <t>No empezada</t>
        </is>
      </c>
      <c r="J251" t="inlineStr">
        <is>
          <t>Pendiente</t>
        </is>
      </c>
      <c r="K251"/>
      <c r="L251"/>
      <c r="M251"/>
      <c r="N251">
        <f>IF(AND(ISNUMBER(L251),ISNUMBER(M251)),L251*M251/100,"")</f>
      </c>
      <c r="O251"/>
    </row>
    <row r="252">
      <c r="A252"/>
      <c r="B252"/>
      <c r="C252"/>
      <c r="D252"/>
      <c r="E252"/>
      <c r="F252"/>
      <c r="G252"/>
      <c r="H252"/>
      <c r="I252" t="inlineStr">
        <is>
          <t>No empezada</t>
        </is>
      </c>
      <c r="J252" t="inlineStr">
        <is>
          <t>Pendiente</t>
        </is>
      </c>
      <c r="K252"/>
      <c r="L252"/>
      <c r="M252"/>
      <c r="N252">
        <f>IF(AND(ISNUMBER(L252),ISNUMBER(M252)),L252*M252/100,"")</f>
      </c>
      <c r="O252"/>
    </row>
    <row r="253">
      <c r="A253"/>
      <c r="B253"/>
      <c r="C253"/>
      <c r="D253"/>
      <c r="E253"/>
      <c r="F253"/>
      <c r="G253"/>
      <c r="H253"/>
      <c r="I253" t="inlineStr">
        <is>
          <t>No empezada</t>
        </is>
      </c>
      <c r="J253" t="inlineStr">
        <is>
          <t>Pendiente</t>
        </is>
      </c>
      <c r="K253"/>
      <c r="L253"/>
      <c r="M253"/>
      <c r="N253">
        <f>IF(AND(ISNUMBER(L253),ISNUMBER(M253)),L253*M253/100,"")</f>
      </c>
      <c r="O253"/>
    </row>
    <row r="254">
      <c r="A254"/>
      <c r="B254"/>
      <c r="C254"/>
      <c r="D254"/>
      <c r="E254"/>
      <c r="F254"/>
      <c r="G254"/>
      <c r="H254"/>
      <c r="I254" t="inlineStr">
        <is>
          <t>No empezada</t>
        </is>
      </c>
      <c r="J254" t="inlineStr">
        <is>
          <t>Pendiente</t>
        </is>
      </c>
      <c r="K254"/>
      <c r="L254"/>
      <c r="M254"/>
      <c r="N254">
        <f>IF(AND(ISNUMBER(L254),ISNUMBER(M254)),L254*M254/100,"")</f>
      </c>
      <c r="O254"/>
    </row>
    <row r="255">
      <c r="A255"/>
      <c r="B255"/>
      <c r="C255"/>
      <c r="D255"/>
      <c r="E255"/>
      <c r="F255"/>
      <c r="G255"/>
      <c r="H255"/>
      <c r="I255" t="inlineStr">
        <is>
          <t>No empezada</t>
        </is>
      </c>
      <c r="J255" t="inlineStr">
        <is>
          <t>Pendiente</t>
        </is>
      </c>
      <c r="K255"/>
      <c r="L255"/>
      <c r="M255"/>
      <c r="N255">
        <f>IF(AND(ISNUMBER(L255),ISNUMBER(M255)),L255*M255/100,"")</f>
      </c>
      <c r="O255"/>
    </row>
    <row r="256">
      <c r="A256"/>
      <c r="B256"/>
      <c r="C256"/>
      <c r="D256"/>
      <c r="E256"/>
      <c r="F256"/>
      <c r="G256"/>
      <c r="H256"/>
      <c r="I256" t="inlineStr">
        <is>
          <t>No empezada</t>
        </is>
      </c>
      <c r="J256" t="inlineStr">
        <is>
          <t>Pendiente</t>
        </is>
      </c>
      <c r="K256"/>
      <c r="L256"/>
      <c r="M256"/>
      <c r="N256">
        <f>IF(AND(ISNUMBER(L256),ISNUMBER(M256)),L256*M256/100,"")</f>
      </c>
      <c r="O256"/>
    </row>
    <row r="257">
      <c r="A257"/>
      <c r="B257"/>
      <c r="C257"/>
      <c r="D257"/>
      <c r="E257"/>
      <c r="F257"/>
      <c r="G257"/>
      <c r="H257"/>
      <c r="I257" t="inlineStr">
        <is>
          <t>No empezada</t>
        </is>
      </c>
      <c r="J257" t="inlineStr">
        <is>
          <t>Pendiente</t>
        </is>
      </c>
      <c r="K257"/>
      <c r="L257"/>
      <c r="M257"/>
      <c r="N257">
        <f>IF(AND(ISNUMBER(L257),ISNUMBER(M257)),L257*M257/100,"")</f>
      </c>
      <c r="O257"/>
    </row>
    <row r="258">
      <c r="A258"/>
      <c r="B258"/>
      <c r="C258"/>
      <c r="D258"/>
      <c r="E258"/>
      <c r="F258"/>
      <c r="G258"/>
      <c r="H258"/>
      <c r="I258" t="inlineStr">
        <is>
          <t>No empezada</t>
        </is>
      </c>
      <c r="J258" t="inlineStr">
        <is>
          <t>Pendiente</t>
        </is>
      </c>
      <c r="K258"/>
      <c r="L258"/>
      <c r="M258"/>
      <c r="N258">
        <f>IF(AND(ISNUMBER(L258),ISNUMBER(M258)),L258*M258/100,"")</f>
      </c>
      <c r="O258"/>
    </row>
    <row r="259">
      <c r="A259"/>
      <c r="B259"/>
      <c r="C259"/>
      <c r="D259"/>
      <c r="E259"/>
      <c r="F259"/>
      <c r="G259"/>
      <c r="H259"/>
      <c r="I259" t="inlineStr">
        <is>
          <t>No empezada</t>
        </is>
      </c>
      <c r="J259" t="inlineStr">
        <is>
          <t>Pendiente</t>
        </is>
      </c>
      <c r="K259"/>
      <c r="L259"/>
      <c r="M259"/>
      <c r="N259">
        <f>IF(AND(ISNUMBER(L259),ISNUMBER(M259)),L259*M259/100,"")</f>
      </c>
      <c r="O259"/>
    </row>
    <row r="260">
      <c r="A260"/>
      <c r="B260"/>
      <c r="C260"/>
      <c r="D260"/>
      <c r="E260"/>
      <c r="F260"/>
      <c r="G260"/>
      <c r="H260"/>
      <c r="I260" t="inlineStr">
        <is>
          <t>No empezada</t>
        </is>
      </c>
      <c r="J260" t="inlineStr">
        <is>
          <t>Pendiente</t>
        </is>
      </c>
      <c r="K260"/>
      <c r="L260"/>
      <c r="M260"/>
      <c r="N260">
        <f>IF(AND(ISNUMBER(L260),ISNUMBER(M260)),L260*M260/100,"")</f>
      </c>
      <c r="O260"/>
    </row>
    <row r="261">
      <c r="A261"/>
      <c r="B261"/>
      <c r="C261"/>
      <c r="D261"/>
      <c r="E261"/>
      <c r="F261"/>
      <c r="G261"/>
      <c r="H261"/>
      <c r="I261" t="inlineStr">
        <is>
          <t>No empezada</t>
        </is>
      </c>
      <c r="J261" t="inlineStr">
        <is>
          <t>Pendiente</t>
        </is>
      </c>
      <c r="K261"/>
      <c r="L261"/>
      <c r="M261"/>
      <c r="N261">
        <f>IF(AND(ISNUMBER(L261),ISNUMBER(M261)),L261*M261/100,"")</f>
      </c>
      <c r="O261"/>
    </row>
    <row r="262">
      <c r="A262"/>
      <c r="B262"/>
      <c r="C262"/>
      <c r="D262"/>
      <c r="E262"/>
      <c r="F262"/>
      <c r="G262"/>
      <c r="H262"/>
      <c r="I262" t="inlineStr">
        <is>
          <t>No empezada</t>
        </is>
      </c>
      <c r="J262" t="inlineStr">
        <is>
          <t>Pendiente</t>
        </is>
      </c>
      <c r="K262"/>
      <c r="L262"/>
      <c r="M262"/>
      <c r="N262">
        <f>IF(AND(ISNUMBER(L262),ISNUMBER(M262)),L262*M262/100,"")</f>
      </c>
      <c r="O262"/>
    </row>
    <row r="263">
      <c r="A263"/>
      <c r="B263"/>
      <c r="C263"/>
      <c r="D263"/>
      <c r="E263"/>
      <c r="F263"/>
      <c r="G263"/>
      <c r="H263"/>
      <c r="I263" t="inlineStr">
        <is>
          <t>No empezada</t>
        </is>
      </c>
      <c r="J263" t="inlineStr">
        <is>
          <t>Pendiente</t>
        </is>
      </c>
      <c r="K263"/>
      <c r="L263"/>
      <c r="M263"/>
      <c r="N263">
        <f>IF(AND(ISNUMBER(L263),ISNUMBER(M263)),L263*M263/100,"")</f>
      </c>
      <c r="O263"/>
    </row>
    <row r="264">
      <c r="A264"/>
      <c r="B264"/>
      <c r="C264"/>
      <c r="D264"/>
      <c r="E264"/>
      <c r="F264"/>
      <c r="G264"/>
      <c r="H264"/>
      <c r="I264" t="inlineStr">
        <is>
          <t>No empezada</t>
        </is>
      </c>
      <c r="J264" t="inlineStr">
        <is>
          <t>Pendiente</t>
        </is>
      </c>
      <c r="K264"/>
      <c r="L264"/>
      <c r="M264"/>
      <c r="N264">
        <f>IF(AND(ISNUMBER(L264),ISNUMBER(M264)),L264*M264/100,"")</f>
      </c>
      <c r="O264"/>
    </row>
    <row r="265">
      <c r="A265"/>
      <c r="B265"/>
      <c r="C265"/>
      <c r="D265"/>
      <c r="E265"/>
      <c r="F265"/>
      <c r="G265"/>
      <c r="H265"/>
      <c r="I265" t="inlineStr">
        <is>
          <t>No empezada</t>
        </is>
      </c>
      <c r="J265" t="inlineStr">
        <is>
          <t>Pendiente</t>
        </is>
      </c>
      <c r="K265"/>
      <c r="L265"/>
      <c r="M265"/>
      <c r="N265">
        <f>IF(AND(ISNUMBER(L265),ISNUMBER(M265)),L265*M265/100,"")</f>
      </c>
      <c r="O265"/>
    </row>
    <row r="266">
      <c r="A266"/>
      <c r="B266"/>
      <c r="C266"/>
      <c r="D266"/>
      <c r="E266"/>
      <c r="F266"/>
      <c r="G266"/>
      <c r="H266"/>
      <c r="I266" t="inlineStr">
        <is>
          <t>No empezada</t>
        </is>
      </c>
      <c r="J266" t="inlineStr">
        <is>
          <t>Pendiente</t>
        </is>
      </c>
      <c r="K266"/>
      <c r="L266"/>
      <c r="M266"/>
      <c r="N266">
        <f>IF(AND(ISNUMBER(L266),ISNUMBER(M266)),L266*M266/100,"")</f>
      </c>
      <c r="O266"/>
    </row>
    <row r="267">
      <c r="A267"/>
      <c r="B267"/>
      <c r="C267"/>
      <c r="D267"/>
      <c r="E267"/>
      <c r="F267"/>
      <c r="G267"/>
      <c r="H267"/>
      <c r="I267" t="inlineStr">
        <is>
          <t>No empezada</t>
        </is>
      </c>
      <c r="J267" t="inlineStr">
        <is>
          <t>Pendiente</t>
        </is>
      </c>
      <c r="K267"/>
      <c r="L267"/>
      <c r="M267"/>
      <c r="N267">
        <f>IF(AND(ISNUMBER(L267),ISNUMBER(M267)),L267*M267/100,"")</f>
      </c>
      <c r="O267"/>
    </row>
    <row r="268">
      <c r="A268"/>
      <c r="B268"/>
      <c r="C268"/>
      <c r="D268"/>
      <c r="E268"/>
      <c r="F268"/>
      <c r="G268"/>
      <c r="H268"/>
      <c r="I268" t="inlineStr">
        <is>
          <t>No empezada</t>
        </is>
      </c>
      <c r="J268" t="inlineStr">
        <is>
          <t>Pendiente</t>
        </is>
      </c>
      <c r="K268"/>
      <c r="L268"/>
      <c r="M268"/>
      <c r="N268">
        <f>IF(AND(ISNUMBER(L268),ISNUMBER(M268)),L268*M268/100,"")</f>
      </c>
      <c r="O268"/>
    </row>
    <row r="269">
      <c r="A269"/>
      <c r="B269"/>
      <c r="C269"/>
      <c r="D269"/>
      <c r="E269"/>
      <c r="F269"/>
      <c r="G269"/>
      <c r="H269"/>
      <c r="I269" t="inlineStr">
        <is>
          <t>No empezada</t>
        </is>
      </c>
      <c r="J269" t="inlineStr">
        <is>
          <t>Pendiente</t>
        </is>
      </c>
      <c r="K269"/>
      <c r="L269"/>
      <c r="M269"/>
      <c r="N269">
        <f>IF(AND(ISNUMBER(L269),ISNUMBER(M269)),L269*M269/100,"")</f>
      </c>
      <c r="O269"/>
    </row>
    <row r="270">
      <c r="A270"/>
      <c r="B270"/>
      <c r="C270"/>
      <c r="D270"/>
      <c r="E270"/>
      <c r="F270"/>
      <c r="G270"/>
      <c r="H270"/>
      <c r="I270" t="inlineStr">
        <is>
          <t>No empezada</t>
        </is>
      </c>
      <c r="J270" t="inlineStr">
        <is>
          <t>Pendiente</t>
        </is>
      </c>
      <c r="K270"/>
      <c r="L270"/>
      <c r="M270"/>
      <c r="N270">
        <f>IF(AND(ISNUMBER(L270),ISNUMBER(M270)),L270*M270/100,"")</f>
      </c>
      <c r="O270"/>
    </row>
    <row r="271">
      <c r="A271"/>
      <c r="B271"/>
      <c r="C271"/>
      <c r="D271"/>
      <c r="E271"/>
      <c r="F271"/>
      <c r="G271"/>
      <c r="H271"/>
      <c r="I271" t="inlineStr">
        <is>
          <t>No empezada</t>
        </is>
      </c>
      <c r="J271" t="inlineStr">
        <is>
          <t>Pendiente</t>
        </is>
      </c>
      <c r="K271"/>
      <c r="L271"/>
      <c r="M271"/>
      <c r="N271">
        <f>IF(AND(ISNUMBER(L271),ISNUMBER(M271)),L271*M271/100,"")</f>
      </c>
      <c r="O271"/>
    </row>
    <row r="272">
      <c r="A272"/>
      <c r="B272"/>
      <c r="C272"/>
      <c r="D272"/>
      <c r="E272"/>
      <c r="F272"/>
      <c r="G272"/>
      <c r="H272"/>
      <c r="I272" t="inlineStr">
        <is>
          <t>No empezada</t>
        </is>
      </c>
      <c r="J272" t="inlineStr">
        <is>
          <t>Pendiente</t>
        </is>
      </c>
      <c r="K272"/>
      <c r="L272"/>
      <c r="M272"/>
      <c r="N272">
        <f>IF(AND(ISNUMBER(L272),ISNUMBER(M272)),L272*M272/100,"")</f>
      </c>
      <c r="O272"/>
    </row>
    <row r="273">
      <c r="A273"/>
      <c r="B273"/>
      <c r="C273"/>
      <c r="D273"/>
      <c r="E273"/>
      <c r="F273"/>
      <c r="G273"/>
      <c r="H273"/>
      <c r="I273" t="inlineStr">
        <is>
          <t>No empezada</t>
        </is>
      </c>
      <c r="J273" t="inlineStr">
        <is>
          <t>Pendiente</t>
        </is>
      </c>
      <c r="K273"/>
      <c r="L273"/>
      <c r="M273"/>
      <c r="N273">
        <f>IF(AND(ISNUMBER(L273),ISNUMBER(M273)),L273*M273/100,"")</f>
      </c>
      <c r="O273"/>
    </row>
    <row r="274">
      <c r="A274"/>
      <c r="B274"/>
      <c r="C274"/>
      <c r="D274"/>
      <c r="E274"/>
      <c r="F274"/>
      <c r="G274"/>
      <c r="H274"/>
      <c r="I274" t="inlineStr">
        <is>
          <t>No empezada</t>
        </is>
      </c>
      <c r="J274" t="inlineStr">
        <is>
          <t>Pendiente</t>
        </is>
      </c>
      <c r="K274"/>
      <c r="L274"/>
      <c r="M274"/>
      <c r="N274">
        <f>IF(AND(ISNUMBER(L274),ISNUMBER(M274)),L274*M274/100,"")</f>
      </c>
      <c r="O274"/>
    </row>
    <row r="275">
      <c r="A275"/>
      <c r="B275"/>
      <c r="C275"/>
      <c r="D275"/>
      <c r="E275"/>
      <c r="F275"/>
      <c r="G275"/>
      <c r="H275"/>
      <c r="I275" t="inlineStr">
        <is>
          <t>No empezada</t>
        </is>
      </c>
      <c r="J275" t="inlineStr">
        <is>
          <t>Pendiente</t>
        </is>
      </c>
      <c r="K275"/>
      <c r="L275"/>
      <c r="M275"/>
      <c r="N275">
        <f>IF(AND(ISNUMBER(L275),ISNUMBER(M275)),L275*M275/100,"")</f>
      </c>
      <c r="O275"/>
    </row>
    <row r="276">
      <c r="A276"/>
      <c r="B276"/>
      <c r="C276"/>
      <c r="D276"/>
      <c r="E276"/>
      <c r="F276"/>
      <c r="G276"/>
      <c r="H276"/>
      <c r="I276" t="inlineStr">
        <is>
          <t>No empezada</t>
        </is>
      </c>
      <c r="J276" t="inlineStr">
        <is>
          <t>Pendiente</t>
        </is>
      </c>
      <c r="K276"/>
      <c r="L276"/>
      <c r="M276"/>
      <c r="N276">
        <f>IF(AND(ISNUMBER(L276),ISNUMBER(M276)),L276*M276/100,"")</f>
      </c>
      <c r="O276"/>
    </row>
    <row r="277">
      <c r="A277"/>
      <c r="B277"/>
      <c r="C277"/>
      <c r="D277"/>
      <c r="E277"/>
      <c r="F277"/>
      <c r="G277"/>
      <c r="H277"/>
      <c r="I277" t="inlineStr">
        <is>
          <t>No empezada</t>
        </is>
      </c>
      <c r="J277" t="inlineStr">
        <is>
          <t>Pendiente</t>
        </is>
      </c>
      <c r="K277"/>
      <c r="L277"/>
      <c r="M277"/>
      <c r="N277">
        <f>IF(AND(ISNUMBER(L277),ISNUMBER(M277)),L277*M277/100,"")</f>
      </c>
      <c r="O277"/>
    </row>
    <row r="278">
      <c r="A278"/>
      <c r="B278"/>
      <c r="C278"/>
      <c r="D278"/>
      <c r="E278"/>
      <c r="F278"/>
      <c r="G278"/>
      <c r="H278"/>
      <c r="I278" t="inlineStr">
        <is>
          <t>No empezada</t>
        </is>
      </c>
      <c r="J278" t="inlineStr">
        <is>
          <t>Pendiente</t>
        </is>
      </c>
      <c r="K278"/>
      <c r="L278"/>
      <c r="M278"/>
      <c r="N278">
        <f>IF(AND(ISNUMBER(L278),ISNUMBER(M278)),L278*M278/100,"")</f>
      </c>
      <c r="O278"/>
    </row>
    <row r="279">
      <c r="A279"/>
      <c r="B279"/>
      <c r="C279"/>
      <c r="D279"/>
      <c r="E279"/>
      <c r="F279"/>
      <c r="G279"/>
      <c r="H279"/>
      <c r="I279" t="inlineStr">
        <is>
          <t>No empezada</t>
        </is>
      </c>
      <c r="J279" t="inlineStr">
        <is>
          <t>Pendiente</t>
        </is>
      </c>
      <c r="K279"/>
      <c r="L279"/>
      <c r="M279"/>
      <c r="N279">
        <f>IF(AND(ISNUMBER(L279),ISNUMBER(M279)),L279*M279/100,"")</f>
      </c>
      <c r="O279"/>
    </row>
    <row r="280">
      <c r="A280"/>
      <c r="B280"/>
      <c r="C280"/>
      <c r="D280"/>
      <c r="E280"/>
      <c r="F280"/>
      <c r="G280"/>
      <c r="H280"/>
      <c r="I280" t="inlineStr">
        <is>
          <t>No empezada</t>
        </is>
      </c>
      <c r="J280" t="inlineStr">
        <is>
          <t>Pendiente</t>
        </is>
      </c>
      <c r="K280"/>
      <c r="L280"/>
      <c r="M280"/>
      <c r="N280">
        <f>IF(AND(ISNUMBER(L280),ISNUMBER(M280)),L280*M280/100,"")</f>
      </c>
      <c r="O280"/>
    </row>
    <row r="281">
      <c r="A281"/>
      <c r="B281"/>
      <c r="C281"/>
      <c r="D281"/>
      <c r="E281"/>
      <c r="F281"/>
      <c r="G281"/>
      <c r="H281"/>
      <c r="I281" t="inlineStr">
        <is>
          <t>No empezada</t>
        </is>
      </c>
      <c r="J281" t="inlineStr">
        <is>
          <t>Pendiente</t>
        </is>
      </c>
      <c r="K281"/>
      <c r="L281"/>
      <c r="M281"/>
      <c r="N281">
        <f>IF(AND(ISNUMBER(L281),ISNUMBER(M281)),L281*M281/100,"")</f>
      </c>
      <c r="O281"/>
    </row>
    <row r="282">
      <c r="A282"/>
      <c r="B282"/>
      <c r="C282"/>
      <c r="D282"/>
      <c r="E282"/>
      <c r="F282"/>
      <c r="G282"/>
      <c r="H282"/>
      <c r="I282" t="inlineStr">
        <is>
          <t>No empezada</t>
        </is>
      </c>
      <c r="J282" t="inlineStr">
        <is>
          <t>Pendiente</t>
        </is>
      </c>
      <c r="K282"/>
      <c r="L282"/>
      <c r="M282"/>
      <c r="N282">
        <f>IF(AND(ISNUMBER(L282),ISNUMBER(M282)),L282*M282/100,"")</f>
      </c>
      <c r="O282"/>
    </row>
    <row r="283">
      <c r="A283"/>
      <c r="B283"/>
      <c r="C283"/>
      <c r="D283"/>
      <c r="E283"/>
      <c r="F283"/>
      <c r="G283"/>
      <c r="H283"/>
      <c r="I283" t="inlineStr">
        <is>
          <t>No empezada</t>
        </is>
      </c>
      <c r="J283" t="inlineStr">
        <is>
          <t>Pendiente</t>
        </is>
      </c>
      <c r="K283"/>
      <c r="L283"/>
      <c r="M283"/>
      <c r="N283">
        <f>IF(AND(ISNUMBER(L283),ISNUMBER(M283)),L283*M283/100,"")</f>
      </c>
      <c r="O283"/>
    </row>
    <row r="284">
      <c r="A284"/>
      <c r="B284"/>
      <c r="C284"/>
      <c r="D284"/>
      <c r="E284"/>
      <c r="F284"/>
      <c r="G284"/>
      <c r="H284"/>
      <c r="I284" t="inlineStr">
        <is>
          <t>No empezada</t>
        </is>
      </c>
      <c r="J284" t="inlineStr">
        <is>
          <t>Pendiente</t>
        </is>
      </c>
      <c r="K284"/>
      <c r="L284"/>
      <c r="M284"/>
      <c r="N284">
        <f>IF(AND(ISNUMBER(L284),ISNUMBER(M284)),L284*M284/100,"")</f>
      </c>
      <c r="O284"/>
    </row>
    <row r="285">
      <c r="A285"/>
      <c r="B285"/>
      <c r="C285"/>
      <c r="D285"/>
      <c r="E285"/>
      <c r="F285"/>
      <c r="G285"/>
      <c r="H285"/>
      <c r="I285" t="inlineStr">
        <is>
          <t>No empezada</t>
        </is>
      </c>
      <c r="J285" t="inlineStr">
        <is>
          <t>Pendiente</t>
        </is>
      </c>
      <c r="K285"/>
      <c r="L285"/>
      <c r="M285"/>
      <c r="N285">
        <f>IF(AND(ISNUMBER(L285),ISNUMBER(M285)),L285*M285/100,"")</f>
      </c>
      <c r="O285"/>
    </row>
    <row r="286">
      <c r="A286"/>
      <c r="B286"/>
      <c r="C286"/>
      <c r="D286"/>
      <c r="E286"/>
      <c r="F286"/>
      <c r="G286"/>
      <c r="H286"/>
      <c r="I286" t="inlineStr">
        <is>
          <t>No empezada</t>
        </is>
      </c>
      <c r="J286" t="inlineStr">
        <is>
          <t>Pendiente</t>
        </is>
      </c>
      <c r="K286"/>
      <c r="L286"/>
      <c r="M286"/>
      <c r="N286">
        <f>IF(AND(ISNUMBER(L286),ISNUMBER(M286)),L286*M286/100,"")</f>
      </c>
      <c r="O286"/>
    </row>
    <row r="287">
      <c r="A287"/>
      <c r="B287"/>
      <c r="C287"/>
      <c r="D287"/>
      <c r="E287"/>
      <c r="F287"/>
      <c r="G287"/>
      <c r="H287"/>
      <c r="I287" t="inlineStr">
        <is>
          <t>No empezada</t>
        </is>
      </c>
      <c r="J287" t="inlineStr">
        <is>
          <t>Pendiente</t>
        </is>
      </c>
      <c r="K287"/>
      <c r="L287"/>
      <c r="M287"/>
      <c r="N287">
        <f>IF(AND(ISNUMBER(L287),ISNUMBER(M287)),L287*M287/100,"")</f>
      </c>
      <c r="O287"/>
    </row>
    <row r="288">
      <c r="A288"/>
      <c r="B288"/>
      <c r="C288"/>
      <c r="D288"/>
      <c r="E288"/>
      <c r="F288"/>
      <c r="G288"/>
      <c r="H288"/>
      <c r="I288" t="inlineStr">
        <is>
          <t>No empezada</t>
        </is>
      </c>
      <c r="J288" t="inlineStr">
        <is>
          <t>Pendiente</t>
        </is>
      </c>
      <c r="K288"/>
      <c r="L288"/>
      <c r="M288"/>
      <c r="N288">
        <f>IF(AND(ISNUMBER(L288),ISNUMBER(M288)),L288*M288/100,"")</f>
      </c>
      <c r="O288"/>
    </row>
    <row r="289">
      <c r="A289"/>
      <c r="B289"/>
      <c r="C289"/>
      <c r="D289"/>
      <c r="E289"/>
      <c r="F289"/>
      <c r="G289"/>
      <c r="H289"/>
      <c r="I289" t="inlineStr">
        <is>
          <t>No empezada</t>
        </is>
      </c>
      <c r="J289" t="inlineStr">
        <is>
          <t>Pendiente</t>
        </is>
      </c>
      <c r="K289"/>
      <c r="L289"/>
      <c r="M289"/>
      <c r="N289">
        <f>IF(AND(ISNUMBER(L289),ISNUMBER(M289)),L289*M289/100,"")</f>
      </c>
      <c r="O289"/>
    </row>
    <row r="290">
      <c r="A290"/>
      <c r="B290"/>
      <c r="C290"/>
      <c r="D290"/>
      <c r="E290"/>
      <c r="F290"/>
      <c r="G290"/>
      <c r="H290"/>
      <c r="I290" t="inlineStr">
        <is>
          <t>No empezada</t>
        </is>
      </c>
      <c r="J290" t="inlineStr">
        <is>
          <t>Pendiente</t>
        </is>
      </c>
      <c r="K290"/>
      <c r="L290"/>
      <c r="M290"/>
      <c r="N290">
        <f>IF(AND(ISNUMBER(L290),ISNUMBER(M290)),L290*M290/100,"")</f>
      </c>
      <c r="O290"/>
    </row>
    <row r="291">
      <c r="A291"/>
      <c r="B291"/>
      <c r="C291"/>
      <c r="D291"/>
      <c r="E291"/>
      <c r="F291"/>
      <c r="G291"/>
      <c r="H291"/>
      <c r="I291" t="inlineStr">
        <is>
          <t>No empezada</t>
        </is>
      </c>
      <c r="J291" t="inlineStr">
        <is>
          <t>Pendiente</t>
        </is>
      </c>
      <c r="K291"/>
      <c r="L291"/>
      <c r="M291"/>
      <c r="N291">
        <f>IF(AND(ISNUMBER(L291),ISNUMBER(M291)),L291*M291/100,"")</f>
      </c>
      <c r="O291"/>
    </row>
    <row r="292">
      <c r="A292"/>
      <c r="B292"/>
      <c r="C292"/>
      <c r="D292"/>
      <c r="E292"/>
      <c r="F292"/>
      <c r="G292"/>
      <c r="H292"/>
      <c r="I292" t="inlineStr">
        <is>
          <t>No empezada</t>
        </is>
      </c>
      <c r="J292" t="inlineStr">
        <is>
          <t>Pendiente</t>
        </is>
      </c>
      <c r="K292"/>
      <c r="L292"/>
      <c r="M292"/>
      <c r="N292">
        <f>IF(AND(ISNUMBER(L292),ISNUMBER(M292)),L292*M292/100,"")</f>
      </c>
      <c r="O292"/>
    </row>
    <row r="293">
      <c r="A293"/>
      <c r="B293"/>
      <c r="C293"/>
      <c r="D293"/>
      <c r="E293"/>
      <c r="F293"/>
      <c r="G293"/>
      <c r="H293"/>
      <c r="I293" t="inlineStr">
        <is>
          <t>No empezada</t>
        </is>
      </c>
      <c r="J293" t="inlineStr">
        <is>
          <t>Pendiente</t>
        </is>
      </c>
      <c r="K293"/>
      <c r="L293"/>
      <c r="M293"/>
      <c r="N293">
        <f>IF(AND(ISNUMBER(L293),ISNUMBER(M293)),L293*M293/100,"")</f>
      </c>
      <c r="O293"/>
    </row>
    <row r="294">
      <c r="A294"/>
      <c r="B294"/>
      <c r="C294"/>
      <c r="D294"/>
      <c r="E294"/>
      <c r="F294"/>
      <c r="G294"/>
      <c r="H294"/>
      <c r="I294" t="inlineStr">
        <is>
          <t>No empezada</t>
        </is>
      </c>
      <c r="J294" t="inlineStr">
        <is>
          <t>Pendiente</t>
        </is>
      </c>
      <c r="K294"/>
      <c r="L294"/>
      <c r="M294"/>
      <c r="N294">
        <f>IF(AND(ISNUMBER(L294),ISNUMBER(M294)),L294*M294/100,"")</f>
      </c>
      <c r="O294"/>
    </row>
    <row r="295">
      <c r="A295"/>
      <c r="B295"/>
      <c r="C295"/>
      <c r="D295"/>
      <c r="E295"/>
      <c r="F295"/>
      <c r="G295"/>
      <c r="H295"/>
      <c r="I295" t="inlineStr">
        <is>
          <t>No empezada</t>
        </is>
      </c>
      <c r="J295" t="inlineStr">
        <is>
          <t>Pendiente</t>
        </is>
      </c>
      <c r="K295"/>
      <c r="L295"/>
      <c r="M295"/>
      <c r="N295">
        <f>IF(AND(ISNUMBER(L295),ISNUMBER(M295)),L295*M295/100,"")</f>
      </c>
      <c r="O295"/>
    </row>
    <row r="296">
      <c r="A296"/>
      <c r="B296"/>
      <c r="C296"/>
      <c r="D296"/>
      <c r="E296"/>
      <c r="F296"/>
      <c r="G296"/>
      <c r="H296"/>
      <c r="I296" t="inlineStr">
        <is>
          <t>No empezada</t>
        </is>
      </c>
      <c r="J296" t="inlineStr">
        <is>
          <t>Pendiente</t>
        </is>
      </c>
      <c r="K296"/>
      <c r="L296"/>
      <c r="M296"/>
      <c r="N296">
        <f>IF(AND(ISNUMBER(L296),ISNUMBER(M296)),L296*M296/100,"")</f>
      </c>
      <c r="O296"/>
    </row>
    <row r="297">
      <c r="A297"/>
      <c r="B297"/>
      <c r="C297"/>
      <c r="D297"/>
      <c r="E297"/>
      <c r="F297"/>
      <c r="G297"/>
      <c r="H297"/>
      <c r="I297" t="inlineStr">
        <is>
          <t>No empezada</t>
        </is>
      </c>
      <c r="J297" t="inlineStr">
        <is>
          <t>Pendiente</t>
        </is>
      </c>
      <c r="K297"/>
      <c r="L297"/>
      <c r="M297"/>
      <c r="N297">
        <f>IF(AND(ISNUMBER(L297),ISNUMBER(M297)),L297*M297/100,"")</f>
      </c>
      <c r="O297"/>
    </row>
    <row r="298">
      <c r="A298"/>
      <c r="B298"/>
      <c r="C298"/>
      <c r="D298"/>
      <c r="E298"/>
      <c r="F298"/>
      <c r="G298"/>
      <c r="H298"/>
      <c r="I298" t="inlineStr">
        <is>
          <t>No empezada</t>
        </is>
      </c>
      <c r="J298" t="inlineStr">
        <is>
          <t>Pendiente</t>
        </is>
      </c>
      <c r="K298"/>
      <c r="L298"/>
      <c r="M298"/>
      <c r="N298">
        <f>IF(AND(ISNUMBER(L298),ISNUMBER(M298)),L298*M298/100,"")</f>
      </c>
      <c r="O298"/>
    </row>
    <row r="299">
      <c r="A299"/>
      <c r="B299"/>
      <c r="C299"/>
      <c r="D299"/>
      <c r="E299"/>
      <c r="F299"/>
      <c r="G299"/>
      <c r="H299"/>
      <c r="I299" t="inlineStr">
        <is>
          <t>No empezada</t>
        </is>
      </c>
      <c r="J299" t="inlineStr">
        <is>
          <t>Pendiente</t>
        </is>
      </c>
      <c r="K299"/>
      <c r="L299"/>
      <c r="M299"/>
      <c r="N299">
        <f>IF(AND(ISNUMBER(L299),ISNUMBER(M299)),L299*M299/100,"")</f>
      </c>
      <c r="O299"/>
    </row>
    <row r="300">
      <c r="A300"/>
      <c r="B300"/>
      <c r="C300"/>
      <c r="D300"/>
      <c r="E300"/>
      <c r="F300"/>
      <c r="G300"/>
      <c r="H300"/>
      <c r="I300" t="inlineStr">
        <is>
          <t>No empezada</t>
        </is>
      </c>
      <c r="J300" t="inlineStr">
        <is>
          <t>Pendiente</t>
        </is>
      </c>
      <c r="K300"/>
      <c r="L300"/>
      <c r="M300"/>
      <c r="N300">
        <f>IF(AND(ISNUMBER(L300),ISNUMBER(M300)),L300*M300/100,"")</f>
      </c>
      <c r="O300"/>
    </row>
    <row r="301">
      <c r="A301"/>
      <c r="B301"/>
      <c r="C301"/>
      <c r="D301"/>
      <c r="E301"/>
      <c r="F301"/>
      <c r="G301"/>
      <c r="H301"/>
      <c r="I301" t="inlineStr">
        <is>
          <t>No empezada</t>
        </is>
      </c>
      <c r="J301" t="inlineStr">
        <is>
          <t>Pendiente</t>
        </is>
      </c>
      <c r="K301"/>
      <c r="L301"/>
      <c r="M301"/>
      <c r="N301">
        <f>IF(AND(ISNUMBER(L301),ISNUMBER(M301)),L301*M301/100,"")</f>
      </c>
      <c r="O301"/>
    </row>
    <row r="302">
      <c r="A302"/>
      <c r="B302"/>
      <c r="C302"/>
      <c r="D302"/>
      <c r="E302"/>
      <c r="F302"/>
      <c r="G302"/>
      <c r="H302"/>
      <c r="I302" t="inlineStr">
        <is>
          <t>No empezada</t>
        </is>
      </c>
      <c r="J302" t="inlineStr">
        <is>
          <t>Pendiente</t>
        </is>
      </c>
      <c r="K302"/>
      <c r="L302"/>
      <c r="M302"/>
      <c r="N302">
        <f>IF(AND(ISNUMBER(L302),ISNUMBER(M302)),L302*M302/100,"")</f>
      </c>
      <c r="O302"/>
    </row>
    <row r="303">
      <c r="A303"/>
      <c r="B303"/>
      <c r="C303"/>
      <c r="D303"/>
      <c r="E303"/>
      <c r="F303"/>
      <c r="G303"/>
      <c r="H303"/>
      <c r="I303" t="inlineStr">
        <is>
          <t>No empezada</t>
        </is>
      </c>
      <c r="J303" t="inlineStr">
        <is>
          <t>Pendiente</t>
        </is>
      </c>
      <c r="K303"/>
      <c r="L303"/>
      <c r="M303"/>
      <c r="N303">
        <f>IF(AND(ISNUMBER(L303),ISNUMBER(M303)),L303*M303/100,"")</f>
      </c>
      <c r="O303"/>
    </row>
    <row r="304">
      <c r="A304"/>
      <c r="B304"/>
      <c r="C304"/>
      <c r="D304"/>
      <c r="E304"/>
      <c r="F304"/>
      <c r="G304"/>
      <c r="H304"/>
      <c r="I304" t="inlineStr">
        <is>
          <t>No empezada</t>
        </is>
      </c>
      <c r="J304" t="inlineStr">
        <is>
          <t>Pendiente</t>
        </is>
      </c>
      <c r="K304"/>
      <c r="L304"/>
      <c r="M304"/>
      <c r="N304">
        <f>IF(AND(ISNUMBER(L304),ISNUMBER(M304)),L304*M304/100,"")</f>
      </c>
      <c r="O304"/>
    </row>
    <row r="305">
      <c r="A305"/>
      <c r="B305"/>
      <c r="C305"/>
      <c r="D305"/>
      <c r="E305"/>
      <c r="F305"/>
      <c r="G305"/>
      <c r="H305"/>
      <c r="I305" t="inlineStr">
        <is>
          <t>No empezada</t>
        </is>
      </c>
      <c r="J305" t="inlineStr">
        <is>
          <t>Pendiente</t>
        </is>
      </c>
      <c r="K305"/>
      <c r="L305"/>
      <c r="M305"/>
      <c r="N305">
        <f>IF(AND(ISNUMBER(L305),ISNUMBER(M305)),L305*M305/100,"")</f>
      </c>
      <c r="O305"/>
    </row>
    <row r="306">
      <c r="A306"/>
      <c r="B306"/>
      <c r="C306"/>
      <c r="D306"/>
      <c r="E306"/>
      <c r="F306"/>
      <c r="G306"/>
      <c r="H306"/>
      <c r="I306" t="inlineStr">
        <is>
          <t>No empezada</t>
        </is>
      </c>
      <c r="J306" t="inlineStr">
        <is>
          <t>Pendiente</t>
        </is>
      </c>
      <c r="K306"/>
      <c r="L306"/>
      <c r="M306"/>
      <c r="N306">
        <f>IF(AND(ISNUMBER(L306),ISNUMBER(M306)),L306*M306/100,"")</f>
      </c>
      <c r="O306"/>
    </row>
    <row r="307">
      <c r="A307"/>
      <c r="B307"/>
      <c r="C307"/>
      <c r="D307"/>
      <c r="E307"/>
      <c r="F307"/>
      <c r="G307"/>
      <c r="H307"/>
      <c r="I307" t="inlineStr">
        <is>
          <t>No empezada</t>
        </is>
      </c>
      <c r="J307" t="inlineStr">
        <is>
          <t>Pendiente</t>
        </is>
      </c>
      <c r="K307"/>
      <c r="L307"/>
      <c r="M307"/>
      <c r="N307">
        <f>IF(AND(ISNUMBER(L307),ISNUMBER(M307)),L307*M307/100,"")</f>
      </c>
      <c r="O307"/>
    </row>
    <row r="308">
      <c r="A308"/>
      <c r="B308"/>
      <c r="C308"/>
      <c r="D308"/>
      <c r="E308"/>
      <c r="F308"/>
      <c r="G308"/>
      <c r="H308"/>
      <c r="I308" t="inlineStr">
        <is>
          <t>No empezada</t>
        </is>
      </c>
      <c r="J308" t="inlineStr">
        <is>
          <t>Pendiente</t>
        </is>
      </c>
      <c r="K308"/>
      <c r="L308"/>
      <c r="M308"/>
      <c r="N308">
        <f>IF(AND(ISNUMBER(L308),ISNUMBER(M308)),L308*M308/100,"")</f>
      </c>
      <c r="O308"/>
    </row>
    <row r="309">
      <c r="A309"/>
      <c r="B309"/>
      <c r="C309"/>
      <c r="D309"/>
      <c r="E309"/>
      <c r="F309"/>
      <c r="G309"/>
      <c r="H309"/>
      <c r="I309" t="inlineStr">
        <is>
          <t>No empezada</t>
        </is>
      </c>
      <c r="J309" t="inlineStr">
        <is>
          <t>Pendiente</t>
        </is>
      </c>
      <c r="K309"/>
      <c r="L309"/>
      <c r="M309"/>
      <c r="N309">
        <f>IF(AND(ISNUMBER(L309),ISNUMBER(M309)),L309*M309/100,"")</f>
      </c>
      <c r="O309"/>
    </row>
    <row r="310">
      <c r="A310"/>
      <c r="B310"/>
      <c r="C310"/>
      <c r="D310"/>
      <c r="E310"/>
      <c r="F310"/>
      <c r="G310"/>
      <c r="H310"/>
      <c r="I310" t="inlineStr">
        <is>
          <t>No empezada</t>
        </is>
      </c>
      <c r="J310" t="inlineStr">
        <is>
          <t>Pendiente</t>
        </is>
      </c>
      <c r="K310"/>
      <c r="L310"/>
      <c r="M310"/>
      <c r="N310">
        <f>IF(AND(ISNUMBER(L310),ISNUMBER(M310)),L310*M310/100,"")</f>
      </c>
      <c r="O310"/>
    </row>
    <row r="311">
      <c r="A311"/>
      <c r="B311"/>
      <c r="C311"/>
      <c r="D311"/>
      <c r="E311"/>
      <c r="F311"/>
      <c r="G311"/>
      <c r="H311"/>
      <c r="I311" t="inlineStr">
        <is>
          <t>No empezada</t>
        </is>
      </c>
      <c r="J311" t="inlineStr">
        <is>
          <t>Pendiente</t>
        </is>
      </c>
      <c r="K311"/>
      <c r="L311"/>
      <c r="M311"/>
      <c r="N311">
        <f>IF(AND(ISNUMBER(L311),ISNUMBER(M311)),L311*M311/100,"")</f>
      </c>
      <c r="O311"/>
    </row>
    <row r="312">
      <c r="A312"/>
      <c r="B312"/>
      <c r="C312"/>
      <c r="D312"/>
      <c r="E312"/>
      <c r="F312"/>
      <c r="G312"/>
      <c r="H312"/>
      <c r="I312" t="inlineStr">
        <is>
          <t>No empezada</t>
        </is>
      </c>
      <c r="J312" t="inlineStr">
        <is>
          <t>Pendiente</t>
        </is>
      </c>
      <c r="K312"/>
      <c r="L312"/>
      <c r="M312"/>
      <c r="N312">
        <f>IF(AND(ISNUMBER(L312),ISNUMBER(M312)),L312*M312/100,"")</f>
      </c>
      <c r="O312"/>
    </row>
    <row r="313">
      <c r="A313"/>
      <c r="B313"/>
      <c r="C313"/>
      <c r="D313"/>
      <c r="E313"/>
      <c r="F313"/>
      <c r="G313"/>
      <c r="H313"/>
      <c r="I313" t="inlineStr">
        <is>
          <t>No empezada</t>
        </is>
      </c>
      <c r="J313" t="inlineStr">
        <is>
          <t>Pendiente</t>
        </is>
      </c>
      <c r="K313"/>
      <c r="L313"/>
      <c r="M313"/>
      <c r="N313">
        <f>IF(AND(ISNUMBER(L313),ISNUMBER(M313)),L313*M313/100,"")</f>
      </c>
      <c r="O313"/>
    </row>
    <row r="314">
      <c r="A314"/>
      <c r="B314"/>
      <c r="C314"/>
      <c r="D314"/>
      <c r="E314"/>
      <c r="F314"/>
      <c r="G314"/>
      <c r="H314"/>
      <c r="I314" t="inlineStr">
        <is>
          <t>No empezada</t>
        </is>
      </c>
      <c r="J314" t="inlineStr">
        <is>
          <t>Pendiente</t>
        </is>
      </c>
      <c r="K314"/>
      <c r="L314"/>
      <c r="M314"/>
      <c r="N314">
        <f>IF(AND(ISNUMBER(L314),ISNUMBER(M314)),L314*M314/100,"")</f>
      </c>
      <c r="O314"/>
    </row>
    <row r="315">
      <c r="A315"/>
      <c r="B315"/>
      <c r="C315"/>
      <c r="D315"/>
      <c r="E315"/>
      <c r="F315"/>
      <c r="G315"/>
      <c r="H315"/>
      <c r="I315" t="inlineStr">
        <is>
          <t>No empezada</t>
        </is>
      </c>
      <c r="J315" t="inlineStr">
        <is>
          <t>Pendiente</t>
        </is>
      </c>
      <c r="K315"/>
      <c r="L315"/>
      <c r="M315"/>
      <c r="N315">
        <f>IF(AND(ISNUMBER(L315),ISNUMBER(M315)),L315*M315/100,"")</f>
      </c>
      <c r="O315"/>
    </row>
    <row r="316">
      <c r="A316"/>
      <c r="B316"/>
      <c r="C316"/>
      <c r="D316"/>
      <c r="E316"/>
      <c r="F316"/>
      <c r="G316"/>
      <c r="H316"/>
      <c r="I316" t="inlineStr">
        <is>
          <t>No empezada</t>
        </is>
      </c>
      <c r="J316" t="inlineStr">
        <is>
          <t>Pendiente</t>
        </is>
      </c>
      <c r="K316"/>
      <c r="L316"/>
      <c r="M316"/>
      <c r="N316">
        <f>IF(AND(ISNUMBER(L316),ISNUMBER(M316)),L316*M316/100,"")</f>
      </c>
      <c r="O316"/>
    </row>
    <row r="317">
      <c r="A317"/>
      <c r="B317"/>
      <c r="C317"/>
      <c r="D317"/>
      <c r="E317"/>
      <c r="F317"/>
      <c r="G317"/>
      <c r="H317"/>
      <c r="I317" t="inlineStr">
        <is>
          <t>No empezada</t>
        </is>
      </c>
      <c r="J317" t="inlineStr">
        <is>
          <t>Pendiente</t>
        </is>
      </c>
      <c r="K317"/>
      <c r="L317"/>
      <c r="M317"/>
      <c r="N317">
        <f>IF(AND(ISNUMBER(L317),ISNUMBER(M317)),L317*M317/100,"")</f>
      </c>
      <c r="O317"/>
    </row>
    <row r="318">
      <c r="A318"/>
      <c r="B318"/>
      <c r="C318"/>
      <c r="D318"/>
      <c r="E318"/>
      <c r="F318"/>
      <c r="G318"/>
      <c r="H318"/>
      <c r="I318" t="inlineStr">
        <is>
          <t>No empezada</t>
        </is>
      </c>
      <c r="J318" t="inlineStr">
        <is>
          <t>Pendiente</t>
        </is>
      </c>
      <c r="K318"/>
      <c r="L318"/>
      <c r="M318"/>
      <c r="N318">
        <f>IF(AND(ISNUMBER(L318),ISNUMBER(M318)),L318*M318/100,"")</f>
      </c>
      <c r="O318"/>
    </row>
    <row r="319">
      <c r="A319"/>
      <c r="B319"/>
      <c r="C319"/>
      <c r="D319"/>
      <c r="E319"/>
      <c r="F319"/>
      <c r="G319"/>
      <c r="H319"/>
      <c r="I319" t="inlineStr">
        <is>
          <t>No empezada</t>
        </is>
      </c>
      <c r="J319" t="inlineStr">
        <is>
          <t>Pendiente</t>
        </is>
      </c>
      <c r="K319"/>
      <c r="L319"/>
      <c r="M319"/>
      <c r="N319">
        <f>IF(AND(ISNUMBER(L319),ISNUMBER(M319)),L319*M319/100,"")</f>
      </c>
      <c r="O319"/>
    </row>
    <row r="320">
      <c r="A320"/>
      <c r="B320"/>
      <c r="C320"/>
      <c r="D320"/>
      <c r="E320"/>
      <c r="F320"/>
      <c r="G320"/>
      <c r="H320"/>
      <c r="I320" t="inlineStr">
        <is>
          <t>No empezada</t>
        </is>
      </c>
      <c r="J320" t="inlineStr">
        <is>
          <t>Pendiente</t>
        </is>
      </c>
      <c r="K320"/>
      <c r="L320"/>
      <c r="M320"/>
      <c r="N320">
        <f>IF(AND(ISNUMBER(L320),ISNUMBER(M320)),L320*M320/100,"")</f>
      </c>
      <c r="O320"/>
    </row>
    <row r="321">
      <c r="A321"/>
      <c r="B321"/>
      <c r="C321"/>
      <c r="D321"/>
      <c r="E321"/>
      <c r="F321"/>
      <c r="G321"/>
      <c r="H321"/>
      <c r="I321" t="inlineStr">
        <is>
          <t>No empezada</t>
        </is>
      </c>
      <c r="J321" t="inlineStr">
        <is>
          <t>Pendiente</t>
        </is>
      </c>
      <c r="K321"/>
      <c r="L321"/>
      <c r="M321"/>
      <c r="N321">
        <f>IF(AND(ISNUMBER(L321),ISNUMBER(M321)),L321*M321/100,"")</f>
      </c>
      <c r="O321"/>
    </row>
    <row r="322">
      <c r="A322"/>
      <c r="B322"/>
      <c r="C322"/>
      <c r="D322"/>
      <c r="E322"/>
      <c r="F322"/>
      <c r="G322"/>
      <c r="H322"/>
      <c r="I322" t="inlineStr">
        <is>
          <t>No empezada</t>
        </is>
      </c>
      <c r="J322" t="inlineStr">
        <is>
          <t>Pendiente</t>
        </is>
      </c>
      <c r="K322"/>
      <c r="L322"/>
      <c r="M322"/>
      <c r="N322">
        <f>IF(AND(ISNUMBER(L322),ISNUMBER(M322)),L322*M322/100,"")</f>
      </c>
      <c r="O322"/>
    </row>
    <row r="323">
      <c r="A323"/>
      <c r="B323"/>
      <c r="C323"/>
      <c r="D323"/>
      <c r="E323"/>
      <c r="F323"/>
      <c r="G323"/>
      <c r="H323"/>
      <c r="I323" t="inlineStr">
        <is>
          <t>No empezada</t>
        </is>
      </c>
      <c r="J323" t="inlineStr">
        <is>
          <t>Pendiente</t>
        </is>
      </c>
      <c r="K323"/>
      <c r="L323"/>
      <c r="M323"/>
      <c r="N323">
        <f>IF(AND(ISNUMBER(L323),ISNUMBER(M323)),L323*M323/100,"")</f>
      </c>
      <c r="O323"/>
    </row>
    <row r="324">
      <c r="A324"/>
      <c r="B324"/>
      <c r="C324"/>
      <c r="D324"/>
      <c r="E324"/>
      <c r="F324"/>
      <c r="G324"/>
      <c r="H324"/>
      <c r="I324" t="inlineStr">
        <is>
          <t>No empezada</t>
        </is>
      </c>
      <c r="J324" t="inlineStr">
        <is>
          <t>Pendiente</t>
        </is>
      </c>
      <c r="K324"/>
      <c r="L324"/>
      <c r="M324"/>
      <c r="N324">
        <f>IF(AND(ISNUMBER(L324),ISNUMBER(M324)),L324*M324/100,"")</f>
      </c>
      <c r="O324"/>
    </row>
    <row r="325">
      <c r="A325"/>
      <c r="B325"/>
      <c r="C325"/>
      <c r="D325"/>
      <c r="E325"/>
      <c r="F325"/>
      <c r="G325"/>
      <c r="H325"/>
      <c r="I325" t="inlineStr">
        <is>
          <t>No empezada</t>
        </is>
      </c>
      <c r="J325" t="inlineStr">
        <is>
          <t>Pendiente</t>
        </is>
      </c>
      <c r="K325"/>
      <c r="L325"/>
      <c r="M325"/>
      <c r="N325">
        <f>IF(AND(ISNUMBER(L325),ISNUMBER(M325)),L325*M325/100,"")</f>
      </c>
      <c r="O325"/>
    </row>
    <row r="326">
      <c r="A326"/>
      <c r="B326"/>
      <c r="C326"/>
      <c r="D326"/>
      <c r="E326"/>
      <c r="F326"/>
      <c r="G326"/>
      <c r="H326"/>
      <c r="I326" t="inlineStr">
        <is>
          <t>No empezada</t>
        </is>
      </c>
      <c r="J326" t="inlineStr">
        <is>
          <t>Pendiente</t>
        </is>
      </c>
      <c r="K326"/>
      <c r="L326"/>
      <c r="M326"/>
      <c r="N326">
        <f>IF(AND(ISNUMBER(L326),ISNUMBER(M326)),L326*M326/100,"")</f>
      </c>
      <c r="O326"/>
    </row>
    <row r="327">
      <c r="A327"/>
      <c r="B327"/>
      <c r="C327"/>
      <c r="D327"/>
      <c r="E327"/>
      <c r="F327"/>
      <c r="G327"/>
      <c r="H327"/>
      <c r="I327" t="inlineStr">
        <is>
          <t>No empezada</t>
        </is>
      </c>
      <c r="J327" t="inlineStr">
        <is>
          <t>Pendiente</t>
        </is>
      </c>
      <c r="K327"/>
      <c r="L327"/>
      <c r="M327"/>
      <c r="N327">
        <f>IF(AND(ISNUMBER(L327),ISNUMBER(M327)),L327*M327/100,"")</f>
      </c>
      <c r="O327"/>
    </row>
    <row r="328">
      <c r="A328"/>
      <c r="B328"/>
      <c r="C328"/>
      <c r="D328"/>
      <c r="E328"/>
      <c r="F328"/>
      <c r="G328"/>
      <c r="H328"/>
      <c r="I328" t="inlineStr">
        <is>
          <t>No empezada</t>
        </is>
      </c>
      <c r="J328" t="inlineStr">
        <is>
          <t>Pendiente</t>
        </is>
      </c>
      <c r="K328"/>
      <c r="L328"/>
      <c r="M328"/>
      <c r="N328">
        <f>IF(AND(ISNUMBER(L328),ISNUMBER(M328)),L328*M328/100,"")</f>
      </c>
      <c r="O328"/>
    </row>
    <row r="329">
      <c r="A329"/>
      <c r="B329"/>
      <c r="C329"/>
      <c r="D329"/>
      <c r="E329"/>
      <c r="F329"/>
      <c r="G329"/>
      <c r="H329"/>
      <c r="I329" t="inlineStr">
        <is>
          <t>No empezada</t>
        </is>
      </c>
      <c r="J329" t="inlineStr">
        <is>
          <t>Pendiente</t>
        </is>
      </c>
      <c r="K329"/>
      <c r="L329"/>
      <c r="M329"/>
      <c r="N329">
        <f>IF(AND(ISNUMBER(L329),ISNUMBER(M329)),L329*M329/100,"")</f>
      </c>
      <c r="O329"/>
    </row>
    <row r="330">
      <c r="A330"/>
      <c r="B330"/>
      <c r="C330"/>
      <c r="D330"/>
      <c r="E330"/>
      <c r="F330"/>
      <c r="G330"/>
      <c r="H330"/>
      <c r="I330" t="inlineStr">
        <is>
          <t>No empezada</t>
        </is>
      </c>
      <c r="J330" t="inlineStr">
        <is>
          <t>Pendiente</t>
        </is>
      </c>
      <c r="K330"/>
      <c r="L330"/>
      <c r="M330"/>
      <c r="N330">
        <f>IF(AND(ISNUMBER(L330),ISNUMBER(M330)),L330*M330/100,"")</f>
      </c>
      <c r="O330"/>
    </row>
    <row r="331">
      <c r="A331"/>
      <c r="B331"/>
      <c r="C331"/>
      <c r="D331"/>
      <c r="E331"/>
      <c r="F331"/>
      <c r="G331"/>
      <c r="H331"/>
      <c r="I331" t="inlineStr">
        <is>
          <t>No empezada</t>
        </is>
      </c>
      <c r="J331" t="inlineStr">
        <is>
          <t>Pendiente</t>
        </is>
      </c>
      <c r="K331"/>
      <c r="L331"/>
      <c r="M331"/>
      <c r="N331">
        <f>IF(AND(ISNUMBER(L331),ISNUMBER(M331)),L331*M331/100,"")</f>
      </c>
      <c r="O331"/>
    </row>
    <row r="332">
      <c r="A332"/>
      <c r="B332"/>
      <c r="C332"/>
      <c r="D332"/>
      <c r="E332"/>
      <c r="F332"/>
      <c r="G332"/>
      <c r="H332"/>
      <c r="I332" t="inlineStr">
        <is>
          <t>No empezada</t>
        </is>
      </c>
      <c r="J332" t="inlineStr">
        <is>
          <t>Pendiente</t>
        </is>
      </c>
      <c r="K332"/>
      <c r="L332"/>
      <c r="M332"/>
      <c r="N332">
        <f>IF(AND(ISNUMBER(L332),ISNUMBER(M332)),L332*M332/100,"")</f>
      </c>
      <c r="O332"/>
    </row>
    <row r="333">
      <c r="A333"/>
      <c r="B333"/>
      <c r="C333"/>
      <c r="D333"/>
      <c r="E333"/>
      <c r="F333"/>
      <c r="G333"/>
      <c r="H333"/>
      <c r="I333" t="inlineStr">
        <is>
          <t>No empezada</t>
        </is>
      </c>
      <c r="J333" t="inlineStr">
        <is>
          <t>Pendiente</t>
        </is>
      </c>
      <c r="K333"/>
      <c r="L333"/>
      <c r="M333"/>
      <c r="N333">
        <f>IF(AND(ISNUMBER(L333),ISNUMBER(M333)),L333*M333/100,"")</f>
      </c>
      <c r="O333"/>
    </row>
    <row r="334">
      <c r="A334"/>
      <c r="B334"/>
      <c r="C334"/>
      <c r="D334"/>
      <c r="E334"/>
      <c r="F334"/>
      <c r="G334"/>
      <c r="H334"/>
      <c r="I334" t="inlineStr">
        <is>
          <t>No empezada</t>
        </is>
      </c>
      <c r="J334" t="inlineStr">
        <is>
          <t>Pendiente</t>
        </is>
      </c>
      <c r="K334"/>
      <c r="L334"/>
      <c r="M334"/>
      <c r="N334">
        <f>IF(AND(ISNUMBER(L334),ISNUMBER(M334)),L334*M334/100,"")</f>
      </c>
      <c r="O334"/>
    </row>
    <row r="335">
      <c r="A335"/>
      <c r="B335"/>
      <c r="C335"/>
      <c r="D335"/>
      <c r="E335"/>
      <c r="F335"/>
      <c r="G335"/>
      <c r="H335"/>
      <c r="I335" t="inlineStr">
        <is>
          <t>No empezada</t>
        </is>
      </c>
      <c r="J335" t="inlineStr">
        <is>
          <t>Pendiente</t>
        </is>
      </c>
      <c r="K335"/>
      <c r="L335"/>
      <c r="M335"/>
      <c r="N335">
        <f>IF(AND(ISNUMBER(L335),ISNUMBER(M335)),L335*M335/100,"")</f>
      </c>
      <c r="O335"/>
    </row>
    <row r="336">
      <c r="A336"/>
      <c r="B336"/>
      <c r="C336"/>
      <c r="D336"/>
      <c r="E336"/>
      <c r="F336"/>
      <c r="G336"/>
      <c r="H336"/>
      <c r="I336" t="inlineStr">
        <is>
          <t>No empezada</t>
        </is>
      </c>
      <c r="J336" t="inlineStr">
        <is>
          <t>Pendiente</t>
        </is>
      </c>
      <c r="K336"/>
      <c r="L336"/>
      <c r="M336"/>
      <c r="N336">
        <f>IF(AND(ISNUMBER(L336),ISNUMBER(M336)),L336*M336/100,"")</f>
      </c>
      <c r="O336"/>
    </row>
    <row r="337">
      <c r="A337"/>
      <c r="B337"/>
      <c r="C337"/>
      <c r="D337"/>
      <c r="E337"/>
      <c r="F337"/>
      <c r="G337"/>
      <c r="H337"/>
      <c r="I337" t="inlineStr">
        <is>
          <t>No empezada</t>
        </is>
      </c>
      <c r="J337" t="inlineStr">
        <is>
          <t>Pendiente</t>
        </is>
      </c>
      <c r="K337"/>
      <c r="L337"/>
      <c r="M337"/>
      <c r="N337">
        <f>IF(AND(ISNUMBER(L337),ISNUMBER(M337)),L337*M337/100,"")</f>
      </c>
      <c r="O337"/>
    </row>
    <row r="338">
      <c r="A338"/>
      <c r="B338"/>
      <c r="C338"/>
      <c r="D338"/>
      <c r="E338"/>
      <c r="F338"/>
      <c r="G338"/>
      <c r="H338"/>
      <c r="I338" t="inlineStr">
        <is>
          <t>No empezada</t>
        </is>
      </c>
      <c r="J338" t="inlineStr">
        <is>
          <t>Pendiente</t>
        </is>
      </c>
      <c r="K338"/>
      <c r="L338"/>
      <c r="M338"/>
      <c r="N338">
        <f>IF(AND(ISNUMBER(L338),ISNUMBER(M338)),L338*M338/100,"")</f>
      </c>
      <c r="O338"/>
    </row>
    <row r="339">
      <c r="A339"/>
      <c r="B339"/>
      <c r="C339"/>
      <c r="D339"/>
      <c r="E339"/>
      <c r="F339"/>
      <c r="G339"/>
      <c r="H339"/>
      <c r="I339" t="inlineStr">
        <is>
          <t>No empezada</t>
        </is>
      </c>
      <c r="J339" t="inlineStr">
        <is>
          <t>Pendiente</t>
        </is>
      </c>
      <c r="K339"/>
      <c r="L339"/>
      <c r="M339"/>
      <c r="N339">
        <f>IF(AND(ISNUMBER(L339),ISNUMBER(M339)),L339*M339/100,"")</f>
      </c>
      <c r="O339"/>
    </row>
    <row r="340">
      <c r="A340"/>
      <c r="B340"/>
      <c r="C340"/>
      <c r="D340"/>
      <c r="E340"/>
      <c r="F340"/>
      <c r="G340"/>
      <c r="H340"/>
      <c r="I340" t="inlineStr">
        <is>
          <t>No empezada</t>
        </is>
      </c>
      <c r="J340" t="inlineStr">
        <is>
          <t>Pendiente</t>
        </is>
      </c>
      <c r="K340"/>
      <c r="L340"/>
      <c r="M340"/>
      <c r="N340">
        <f>IF(AND(ISNUMBER(L340),ISNUMBER(M340)),L340*M340/100,"")</f>
      </c>
      <c r="O340"/>
    </row>
    <row r="341">
      <c r="A341"/>
      <c r="B341"/>
      <c r="C341"/>
      <c r="D341"/>
      <c r="E341"/>
      <c r="F341"/>
      <c r="G341"/>
      <c r="H341"/>
      <c r="I341" t="inlineStr">
        <is>
          <t>No empezada</t>
        </is>
      </c>
      <c r="J341" t="inlineStr">
        <is>
          <t>Pendiente</t>
        </is>
      </c>
      <c r="K341"/>
      <c r="L341"/>
      <c r="M341"/>
      <c r="N341">
        <f>IF(AND(ISNUMBER(L341),ISNUMBER(M341)),L341*M341/100,"")</f>
      </c>
      <c r="O341"/>
    </row>
    <row r="342">
      <c r="A342"/>
      <c r="B342"/>
      <c r="C342"/>
      <c r="D342"/>
      <c r="E342"/>
      <c r="F342"/>
      <c r="G342"/>
      <c r="H342"/>
      <c r="I342" t="inlineStr">
        <is>
          <t>No empezada</t>
        </is>
      </c>
      <c r="J342" t="inlineStr">
        <is>
          <t>Pendiente</t>
        </is>
      </c>
      <c r="K342"/>
      <c r="L342"/>
      <c r="M342"/>
      <c r="N342">
        <f>IF(AND(ISNUMBER(L342),ISNUMBER(M342)),L342*M342/100,"")</f>
      </c>
      <c r="O342"/>
    </row>
    <row r="343">
      <c r="A343"/>
      <c r="B343"/>
      <c r="C343"/>
      <c r="D343"/>
      <c r="E343"/>
      <c r="F343"/>
      <c r="G343"/>
      <c r="H343"/>
      <c r="I343" t="inlineStr">
        <is>
          <t>No empezada</t>
        </is>
      </c>
      <c r="J343" t="inlineStr">
        <is>
          <t>Pendiente</t>
        </is>
      </c>
      <c r="K343"/>
      <c r="L343"/>
      <c r="M343"/>
      <c r="N343">
        <f>IF(AND(ISNUMBER(L343),ISNUMBER(M343)),L343*M343/100,"")</f>
      </c>
      <c r="O343"/>
    </row>
    <row r="344">
      <c r="A344"/>
      <c r="B344"/>
      <c r="C344"/>
      <c r="D344"/>
      <c r="E344"/>
      <c r="F344"/>
      <c r="G344"/>
      <c r="H344"/>
      <c r="I344" t="inlineStr">
        <is>
          <t>No empezada</t>
        </is>
      </c>
      <c r="J344" t="inlineStr">
        <is>
          <t>Pendiente</t>
        </is>
      </c>
      <c r="K344"/>
      <c r="L344"/>
      <c r="M344"/>
      <c r="N344">
        <f>IF(AND(ISNUMBER(L344),ISNUMBER(M344)),L344*M344/100,"")</f>
      </c>
      <c r="O344"/>
    </row>
    <row r="345">
      <c r="A345"/>
      <c r="B345"/>
      <c r="C345"/>
      <c r="D345"/>
      <c r="E345"/>
      <c r="F345"/>
      <c r="G345"/>
      <c r="H345"/>
      <c r="I345" t="inlineStr">
        <is>
          <t>No empezada</t>
        </is>
      </c>
      <c r="J345" t="inlineStr">
        <is>
          <t>Pendiente</t>
        </is>
      </c>
      <c r="K345"/>
      <c r="L345"/>
      <c r="M345"/>
      <c r="N345">
        <f>IF(AND(ISNUMBER(L345),ISNUMBER(M345)),L345*M345/100,"")</f>
      </c>
      <c r="O345"/>
    </row>
    <row r="346">
      <c r="A346"/>
      <c r="B346"/>
      <c r="C346"/>
      <c r="D346"/>
      <c r="E346"/>
      <c r="F346"/>
      <c r="G346"/>
      <c r="H346"/>
      <c r="I346" t="inlineStr">
        <is>
          <t>No empezada</t>
        </is>
      </c>
      <c r="J346" t="inlineStr">
        <is>
          <t>Pendiente</t>
        </is>
      </c>
      <c r="K346"/>
      <c r="L346"/>
      <c r="M346"/>
      <c r="N346">
        <f>IF(AND(ISNUMBER(L346),ISNUMBER(M346)),L346*M346/100,"")</f>
      </c>
      <c r="O346"/>
    </row>
    <row r="347">
      <c r="A347"/>
      <c r="B347"/>
      <c r="C347"/>
      <c r="D347"/>
      <c r="E347"/>
      <c r="F347"/>
      <c r="G347"/>
      <c r="H347"/>
      <c r="I347" t="inlineStr">
        <is>
          <t>No empezada</t>
        </is>
      </c>
      <c r="J347" t="inlineStr">
        <is>
          <t>Pendiente</t>
        </is>
      </c>
      <c r="K347"/>
      <c r="L347"/>
      <c r="M347"/>
      <c r="N347">
        <f>IF(AND(ISNUMBER(L347),ISNUMBER(M347)),L347*M347/100,"")</f>
      </c>
      <c r="O347"/>
    </row>
    <row r="348">
      <c r="A348"/>
      <c r="B348"/>
      <c r="C348"/>
      <c r="D348"/>
      <c r="E348"/>
      <c r="F348"/>
      <c r="G348"/>
      <c r="H348"/>
      <c r="I348" t="inlineStr">
        <is>
          <t>No empezada</t>
        </is>
      </c>
      <c r="J348" t="inlineStr">
        <is>
          <t>Pendiente</t>
        </is>
      </c>
      <c r="K348"/>
      <c r="L348"/>
      <c r="M348"/>
      <c r="N348">
        <f>IF(AND(ISNUMBER(L348),ISNUMBER(M348)),L348*M348/100,"")</f>
      </c>
      <c r="O348"/>
    </row>
    <row r="349">
      <c r="A349"/>
      <c r="B349"/>
      <c r="C349"/>
      <c r="D349"/>
      <c r="E349"/>
      <c r="F349"/>
      <c r="G349"/>
      <c r="H349"/>
      <c r="I349" t="inlineStr">
        <is>
          <t>No empezada</t>
        </is>
      </c>
      <c r="J349" t="inlineStr">
        <is>
          <t>Pendiente</t>
        </is>
      </c>
      <c r="K349"/>
      <c r="L349"/>
      <c r="M349"/>
      <c r="N349">
        <f>IF(AND(ISNUMBER(L349),ISNUMBER(M349)),L349*M349/100,"")</f>
      </c>
      <c r="O349"/>
    </row>
    <row r="350">
      <c r="A350"/>
      <c r="B350"/>
      <c r="C350"/>
      <c r="D350"/>
      <c r="E350"/>
      <c r="F350"/>
      <c r="G350"/>
      <c r="H350"/>
      <c r="I350" t="inlineStr">
        <is>
          <t>No empezada</t>
        </is>
      </c>
      <c r="J350" t="inlineStr">
        <is>
          <t>Pendiente</t>
        </is>
      </c>
      <c r="K350"/>
      <c r="L350"/>
      <c r="M350"/>
      <c r="N350">
        <f>IF(AND(ISNUMBER(L350),ISNUMBER(M350)),L350*M350/100,"")</f>
      </c>
      <c r="O350"/>
    </row>
    <row r="351">
      <c r="A351"/>
      <c r="B351"/>
      <c r="C351"/>
      <c r="D351"/>
      <c r="E351"/>
      <c r="F351"/>
      <c r="G351"/>
      <c r="H351"/>
      <c r="I351" t="inlineStr">
        <is>
          <t>No empezada</t>
        </is>
      </c>
      <c r="J351" t="inlineStr">
        <is>
          <t>Pendiente</t>
        </is>
      </c>
      <c r="K351"/>
      <c r="L351"/>
      <c r="M351"/>
      <c r="N351">
        <f>IF(AND(ISNUMBER(L351),ISNUMBER(M351)),L351*M351/100,"")</f>
      </c>
      <c r="O351"/>
    </row>
    <row r="352">
      <c r="A352"/>
      <c r="B352"/>
      <c r="C352"/>
      <c r="D352"/>
      <c r="E352"/>
      <c r="F352"/>
      <c r="G352"/>
      <c r="H352"/>
      <c r="I352" t="inlineStr">
        <is>
          <t>No empezada</t>
        </is>
      </c>
      <c r="J352" t="inlineStr">
        <is>
          <t>Pendiente</t>
        </is>
      </c>
      <c r="K352"/>
      <c r="L352"/>
      <c r="M352"/>
      <c r="N352">
        <f>IF(AND(ISNUMBER(L352),ISNUMBER(M352)),L352*M352/100,"")</f>
      </c>
      <c r="O352"/>
    </row>
    <row r="353">
      <c r="A353"/>
      <c r="B353"/>
      <c r="C353"/>
      <c r="D353"/>
      <c r="E353"/>
      <c r="F353"/>
      <c r="G353"/>
      <c r="H353"/>
      <c r="I353" t="inlineStr">
        <is>
          <t>No empezada</t>
        </is>
      </c>
      <c r="J353" t="inlineStr">
        <is>
          <t>Pendiente</t>
        </is>
      </c>
      <c r="K353"/>
      <c r="L353"/>
      <c r="M353"/>
      <c r="N353">
        <f>IF(AND(ISNUMBER(L353),ISNUMBER(M353)),L353*M353/100,"")</f>
      </c>
      <c r="O353"/>
    </row>
    <row r="354">
      <c r="A354"/>
      <c r="B354"/>
      <c r="C354"/>
      <c r="D354"/>
      <c r="E354"/>
      <c r="F354"/>
      <c r="G354"/>
      <c r="H354"/>
      <c r="I354" t="inlineStr">
        <is>
          <t>No empezada</t>
        </is>
      </c>
      <c r="J354" t="inlineStr">
        <is>
          <t>Pendiente</t>
        </is>
      </c>
      <c r="K354"/>
      <c r="L354"/>
      <c r="M354"/>
      <c r="N354">
        <f>IF(AND(ISNUMBER(L354),ISNUMBER(M354)),L354*M354/100,"")</f>
      </c>
      <c r="O354"/>
    </row>
    <row r="355">
      <c r="A355"/>
      <c r="B355"/>
      <c r="C355"/>
      <c r="D355"/>
      <c r="E355"/>
      <c r="F355"/>
      <c r="G355"/>
      <c r="H355"/>
      <c r="I355" t="inlineStr">
        <is>
          <t>No empezada</t>
        </is>
      </c>
      <c r="J355" t="inlineStr">
        <is>
          <t>Pendiente</t>
        </is>
      </c>
      <c r="K355"/>
      <c r="L355"/>
      <c r="M355"/>
      <c r="N355">
        <f>IF(AND(ISNUMBER(L355),ISNUMBER(M355)),L355*M355/100,"")</f>
      </c>
      <c r="O355"/>
    </row>
    <row r="356">
      <c r="A356"/>
      <c r="B356"/>
      <c r="C356"/>
      <c r="D356"/>
      <c r="E356"/>
      <c r="F356"/>
      <c r="G356"/>
      <c r="H356"/>
      <c r="I356" t="inlineStr">
        <is>
          <t>No empezada</t>
        </is>
      </c>
      <c r="J356" t="inlineStr">
        <is>
          <t>Pendiente</t>
        </is>
      </c>
      <c r="K356"/>
      <c r="L356"/>
      <c r="M356"/>
      <c r="N356">
        <f>IF(AND(ISNUMBER(L356),ISNUMBER(M356)),L356*M356/100,"")</f>
      </c>
      <c r="O356"/>
    </row>
    <row r="357">
      <c r="A357"/>
      <c r="B357"/>
      <c r="C357"/>
      <c r="D357"/>
      <c r="E357"/>
      <c r="F357"/>
      <c r="G357"/>
      <c r="H357"/>
      <c r="I357" t="inlineStr">
        <is>
          <t>No empezada</t>
        </is>
      </c>
      <c r="J357" t="inlineStr">
        <is>
          <t>Pendiente</t>
        </is>
      </c>
      <c r="K357"/>
      <c r="L357"/>
      <c r="M357"/>
      <c r="N357">
        <f>IF(AND(ISNUMBER(L357),ISNUMBER(M357)),L357*M357/100,"")</f>
      </c>
      <c r="O357"/>
    </row>
    <row r="358">
      <c r="A358"/>
      <c r="B358"/>
      <c r="C358"/>
      <c r="D358"/>
      <c r="E358"/>
      <c r="F358"/>
      <c r="G358"/>
      <c r="H358"/>
      <c r="I358" t="inlineStr">
        <is>
          <t>No empezada</t>
        </is>
      </c>
      <c r="J358" t="inlineStr">
        <is>
          <t>Pendiente</t>
        </is>
      </c>
      <c r="K358"/>
      <c r="L358"/>
      <c r="M358"/>
      <c r="N358">
        <f>IF(AND(ISNUMBER(L358),ISNUMBER(M358)),L358*M358/100,"")</f>
      </c>
      <c r="O358"/>
    </row>
    <row r="359">
      <c r="A359"/>
      <c r="B359"/>
      <c r="C359"/>
      <c r="D359"/>
      <c r="E359"/>
      <c r="F359"/>
      <c r="G359"/>
      <c r="H359"/>
      <c r="I359" t="inlineStr">
        <is>
          <t>No empezada</t>
        </is>
      </c>
      <c r="J359" t="inlineStr">
        <is>
          <t>Pendiente</t>
        </is>
      </c>
      <c r="K359"/>
      <c r="L359"/>
      <c r="M359"/>
      <c r="N359">
        <f>IF(AND(ISNUMBER(L359),ISNUMBER(M359)),L359*M359/100,"")</f>
      </c>
      <c r="O359"/>
    </row>
    <row r="360">
      <c r="A360"/>
      <c r="B360"/>
      <c r="C360"/>
      <c r="D360"/>
      <c r="E360"/>
      <c r="F360"/>
      <c r="G360"/>
      <c r="H360"/>
      <c r="I360" t="inlineStr">
        <is>
          <t>No empezada</t>
        </is>
      </c>
      <c r="J360" t="inlineStr">
        <is>
          <t>Pendiente</t>
        </is>
      </c>
      <c r="K360"/>
      <c r="L360"/>
      <c r="M360"/>
      <c r="N360">
        <f>IF(AND(ISNUMBER(L360),ISNUMBER(M360)),L360*M360/100,"")</f>
      </c>
      <c r="O360"/>
    </row>
    <row r="361">
      <c r="A361"/>
      <c r="B361"/>
      <c r="C361"/>
      <c r="D361"/>
      <c r="E361"/>
      <c r="F361"/>
      <c r="G361"/>
      <c r="H361"/>
      <c r="I361" t="inlineStr">
        <is>
          <t>No empezada</t>
        </is>
      </c>
      <c r="J361" t="inlineStr">
        <is>
          <t>Pendiente</t>
        </is>
      </c>
      <c r="K361"/>
      <c r="L361"/>
      <c r="M361"/>
      <c r="N361">
        <f>IF(AND(ISNUMBER(L361),ISNUMBER(M361)),L361*M361/100,"")</f>
      </c>
      <c r="O361"/>
    </row>
    <row r="362">
      <c r="A362"/>
      <c r="B362"/>
      <c r="C362"/>
      <c r="D362"/>
      <c r="E362"/>
      <c r="F362"/>
      <c r="G362"/>
      <c r="H362"/>
      <c r="I362" t="inlineStr">
        <is>
          <t>No empezada</t>
        </is>
      </c>
      <c r="J362" t="inlineStr">
        <is>
          <t>Pendiente</t>
        </is>
      </c>
      <c r="K362"/>
      <c r="L362"/>
      <c r="M362"/>
      <c r="N362">
        <f>IF(AND(ISNUMBER(L362),ISNUMBER(M362)),L362*M362/100,"")</f>
      </c>
      <c r="O362"/>
    </row>
    <row r="363">
      <c r="A363"/>
      <c r="B363"/>
      <c r="C363"/>
      <c r="D363"/>
      <c r="E363"/>
      <c r="F363"/>
      <c r="G363"/>
      <c r="H363"/>
      <c r="I363" t="inlineStr">
        <is>
          <t>No empezada</t>
        </is>
      </c>
      <c r="J363" t="inlineStr">
        <is>
          <t>Pendiente</t>
        </is>
      </c>
      <c r="K363"/>
      <c r="L363"/>
      <c r="M363"/>
      <c r="N363">
        <f>IF(AND(ISNUMBER(L363),ISNUMBER(M363)),L363*M363/100,"")</f>
      </c>
      <c r="O363"/>
    </row>
    <row r="364">
      <c r="A364"/>
      <c r="B364"/>
      <c r="C364"/>
      <c r="D364"/>
      <c r="E364"/>
      <c r="F364"/>
      <c r="G364"/>
      <c r="H364"/>
      <c r="I364" t="inlineStr">
        <is>
          <t>No empezada</t>
        </is>
      </c>
      <c r="J364" t="inlineStr">
        <is>
          <t>Pendiente</t>
        </is>
      </c>
      <c r="K364"/>
      <c r="L364"/>
      <c r="M364"/>
      <c r="N364">
        <f>IF(AND(ISNUMBER(L364),ISNUMBER(M364)),L364*M364/100,"")</f>
      </c>
      <c r="O364"/>
    </row>
    <row r="365">
      <c r="A365"/>
      <c r="B365"/>
      <c r="C365"/>
      <c r="D365"/>
      <c r="E365"/>
      <c r="F365"/>
      <c r="G365"/>
      <c r="H365"/>
      <c r="I365" t="inlineStr">
        <is>
          <t>No empezada</t>
        </is>
      </c>
      <c r="J365" t="inlineStr">
        <is>
          <t>Pendiente</t>
        </is>
      </c>
      <c r="K365"/>
      <c r="L365"/>
      <c r="M365"/>
      <c r="N365">
        <f>IF(AND(ISNUMBER(L365),ISNUMBER(M365)),L365*M365/100,"")</f>
      </c>
      <c r="O365"/>
    </row>
    <row r="366">
      <c r="A366"/>
      <c r="B366"/>
      <c r="C366"/>
      <c r="D366"/>
      <c r="E366"/>
      <c r="F366"/>
      <c r="G366"/>
      <c r="H366"/>
      <c r="I366" t="inlineStr">
        <is>
          <t>No empezada</t>
        </is>
      </c>
      <c r="J366" t="inlineStr">
        <is>
          <t>Pendiente</t>
        </is>
      </c>
      <c r="K366"/>
      <c r="L366"/>
      <c r="M366"/>
      <c r="N366">
        <f>IF(AND(ISNUMBER(L366),ISNUMBER(M366)),L366*M366/100,"")</f>
      </c>
      <c r="O366"/>
    </row>
    <row r="367">
      <c r="A367"/>
      <c r="B367"/>
      <c r="C367"/>
      <c r="D367"/>
      <c r="E367"/>
      <c r="F367"/>
      <c r="G367"/>
      <c r="H367"/>
      <c r="I367" t="inlineStr">
        <is>
          <t>No empezada</t>
        </is>
      </c>
      <c r="J367" t="inlineStr">
        <is>
          <t>Pendiente</t>
        </is>
      </c>
      <c r="K367"/>
      <c r="L367"/>
      <c r="M367"/>
      <c r="N367">
        <f>IF(AND(ISNUMBER(L367),ISNUMBER(M367)),L367*M367/100,"")</f>
      </c>
      <c r="O367"/>
    </row>
    <row r="368">
      <c r="A368"/>
      <c r="B368"/>
      <c r="C368"/>
      <c r="D368"/>
      <c r="E368"/>
      <c r="F368"/>
      <c r="G368"/>
      <c r="H368"/>
      <c r="I368" t="inlineStr">
        <is>
          <t>No empezada</t>
        </is>
      </c>
      <c r="J368" t="inlineStr">
        <is>
          <t>Pendiente</t>
        </is>
      </c>
      <c r="K368"/>
      <c r="L368"/>
      <c r="M368"/>
      <c r="N368">
        <f>IF(AND(ISNUMBER(L368),ISNUMBER(M368)),L368*M368/100,"")</f>
      </c>
      <c r="O368"/>
    </row>
    <row r="369">
      <c r="A369"/>
      <c r="B369"/>
      <c r="C369"/>
      <c r="D369"/>
      <c r="E369"/>
      <c r="F369"/>
      <c r="G369"/>
      <c r="H369"/>
      <c r="I369" t="inlineStr">
        <is>
          <t>No empezada</t>
        </is>
      </c>
      <c r="J369" t="inlineStr">
        <is>
          <t>Pendiente</t>
        </is>
      </c>
      <c r="K369"/>
      <c r="L369"/>
      <c r="M369"/>
      <c r="N369">
        <f>IF(AND(ISNUMBER(L369),ISNUMBER(M369)),L369*M369/100,"")</f>
      </c>
      <c r="O369"/>
    </row>
    <row r="370">
      <c r="A370"/>
      <c r="B370"/>
      <c r="C370"/>
      <c r="D370"/>
      <c r="E370"/>
      <c r="F370"/>
      <c r="G370"/>
      <c r="H370"/>
      <c r="I370" t="inlineStr">
        <is>
          <t>No empezada</t>
        </is>
      </c>
      <c r="J370" t="inlineStr">
        <is>
          <t>Pendiente</t>
        </is>
      </c>
      <c r="K370"/>
      <c r="L370"/>
      <c r="M370"/>
      <c r="N370">
        <f>IF(AND(ISNUMBER(L370),ISNUMBER(M370)),L370*M370/100,"")</f>
      </c>
      <c r="O370"/>
    </row>
    <row r="371">
      <c r="A371"/>
      <c r="B371"/>
      <c r="C371"/>
      <c r="D371"/>
      <c r="E371"/>
      <c r="F371"/>
      <c r="G371"/>
      <c r="H371"/>
      <c r="I371" t="inlineStr">
        <is>
          <t>No empezada</t>
        </is>
      </c>
      <c r="J371" t="inlineStr">
        <is>
          <t>Pendiente</t>
        </is>
      </c>
      <c r="K371"/>
      <c r="L371"/>
      <c r="M371"/>
      <c r="N371">
        <f>IF(AND(ISNUMBER(L371),ISNUMBER(M371)),L371*M371/100,"")</f>
      </c>
      <c r="O371"/>
    </row>
    <row r="372">
      <c r="A372"/>
      <c r="B372"/>
      <c r="C372"/>
      <c r="D372"/>
      <c r="E372"/>
      <c r="F372"/>
      <c r="G372"/>
      <c r="H372"/>
      <c r="I372" t="inlineStr">
        <is>
          <t>No empezada</t>
        </is>
      </c>
      <c r="J372" t="inlineStr">
        <is>
          <t>Pendiente</t>
        </is>
      </c>
      <c r="K372"/>
      <c r="L372"/>
      <c r="M372"/>
      <c r="N372">
        <f>IF(AND(ISNUMBER(L372),ISNUMBER(M372)),L372*M372/100,"")</f>
      </c>
      <c r="O372"/>
    </row>
    <row r="373">
      <c r="A373"/>
      <c r="B373"/>
      <c r="C373"/>
      <c r="D373"/>
      <c r="E373"/>
      <c r="F373"/>
      <c r="G373"/>
      <c r="H373"/>
      <c r="I373" t="inlineStr">
        <is>
          <t>No empezada</t>
        </is>
      </c>
      <c r="J373" t="inlineStr">
        <is>
          <t>Pendiente</t>
        </is>
      </c>
      <c r="K373"/>
      <c r="L373"/>
      <c r="M373"/>
      <c r="N373">
        <f>IF(AND(ISNUMBER(L373),ISNUMBER(M373)),L373*M373/100,"")</f>
      </c>
      <c r="O373"/>
    </row>
    <row r="374">
      <c r="A374"/>
      <c r="B374"/>
      <c r="C374"/>
      <c r="D374"/>
      <c r="E374"/>
      <c r="F374"/>
      <c r="G374"/>
      <c r="H374"/>
      <c r="I374" t="inlineStr">
        <is>
          <t>No empezada</t>
        </is>
      </c>
      <c r="J374" t="inlineStr">
        <is>
          <t>Pendiente</t>
        </is>
      </c>
      <c r="K374"/>
      <c r="L374"/>
      <c r="M374"/>
      <c r="N374">
        <f>IF(AND(ISNUMBER(L374),ISNUMBER(M374)),L374*M374/100,"")</f>
      </c>
      <c r="O374"/>
    </row>
    <row r="375">
      <c r="A375"/>
      <c r="B375"/>
      <c r="C375"/>
      <c r="D375"/>
      <c r="E375"/>
      <c r="F375"/>
      <c r="G375"/>
      <c r="H375"/>
      <c r="I375" t="inlineStr">
        <is>
          <t>No empezada</t>
        </is>
      </c>
      <c r="J375" t="inlineStr">
        <is>
          <t>Pendiente</t>
        </is>
      </c>
      <c r="K375"/>
      <c r="L375"/>
      <c r="M375"/>
      <c r="N375">
        <f>IF(AND(ISNUMBER(L375),ISNUMBER(M375)),L375*M375/100,"")</f>
      </c>
      <c r="O375"/>
    </row>
    <row r="376">
      <c r="A376"/>
      <c r="B376"/>
      <c r="C376"/>
      <c r="D376"/>
      <c r="E376"/>
      <c r="F376"/>
      <c r="G376"/>
      <c r="H376"/>
      <c r="I376" t="inlineStr">
        <is>
          <t>No empezada</t>
        </is>
      </c>
      <c r="J376" t="inlineStr">
        <is>
          <t>Pendiente</t>
        </is>
      </c>
      <c r="K376"/>
      <c r="L376"/>
      <c r="M376"/>
      <c r="N376">
        <f>IF(AND(ISNUMBER(L376),ISNUMBER(M376)),L376*M376/100,"")</f>
      </c>
      <c r="O376"/>
    </row>
    <row r="377">
      <c r="A377"/>
      <c r="B377"/>
      <c r="C377"/>
      <c r="D377"/>
      <c r="E377"/>
      <c r="F377"/>
      <c r="G377"/>
      <c r="H377"/>
      <c r="I377" t="inlineStr">
        <is>
          <t>No empezada</t>
        </is>
      </c>
      <c r="J377" t="inlineStr">
        <is>
          <t>Pendiente</t>
        </is>
      </c>
      <c r="K377"/>
      <c r="L377"/>
      <c r="M377"/>
      <c r="N377">
        <f>IF(AND(ISNUMBER(L377),ISNUMBER(M377)),L377*M377/100,"")</f>
      </c>
      <c r="O377"/>
    </row>
    <row r="378">
      <c r="A378"/>
      <c r="B378"/>
      <c r="C378"/>
      <c r="D378"/>
      <c r="E378"/>
      <c r="F378"/>
      <c r="G378"/>
      <c r="H378"/>
      <c r="I378" t="inlineStr">
        <is>
          <t>No empezada</t>
        </is>
      </c>
      <c r="J378" t="inlineStr">
        <is>
          <t>Pendiente</t>
        </is>
      </c>
      <c r="K378"/>
      <c r="L378"/>
      <c r="M378"/>
      <c r="N378">
        <f>IF(AND(ISNUMBER(L378),ISNUMBER(M378)),L378*M378/100,"")</f>
      </c>
      <c r="O378"/>
    </row>
    <row r="379">
      <c r="A379"/>
      <c r="B379"/>
      <c r="C379"/>
      <c r="D379"/>
      <c r="E379"/>
      <c r="F379"/>
      <c r="G379"/>
      <c r="H379"/>
      <c r="I379" t="inlineStr">
        <is>
          <t>No empezada</t>
        </is>
      </c>
      <c r="J379" t="inlineStr">
        <is>
          <t>Pendiente</t>
        </is>
      </c>
      <c r="K379"/>
      <c r="L379"/>
      <c r="M379"/>
      <c r="N379">
        <f>IF(AND(ISNUMBER(L379),ISNUMBER(M379)),L379*M379/100,"")</f>
      </c>
      <c r="O379"/>
    </row>
    <row r="380">
      <c r="A380"/>
      <c r="B380"/>
      <c r="C380"/>
      <c r="D380"/>
      <c r="E380"/>
      <c r="F380"/>
      <c r="G380"/>
      <c r="H380"/>
      <c r="I380" t="inlineStr">
        <is>
          <t>No empezada</t>
        </is>
      </c>
      <c r="J380" t="inlineStr">
        <is>
          <t>Pendiente</t>
        </is>
      </c>
      <c r="K380"/>
      <c r="L380"/>
      <c r="M380"/>
      <c r="N380">
        <f>IF(AND(ISNUMBER(L380),ISNUMBER(M380)),L380*M380/100,"")</f>
      </c>
      <c r="O380"/>
    </row>
    <row r="381">
      <c r="A381"/>
      <c r="B381"/>
      <c r="C381"/>
      <c r="D381"/>
      <c r="E381"/>
      <c r="F381"/>
      <c r="G381"/>
      <c r="H381"/>
      <c r="I381" t="inlineStr">
        <is>
          <t>No empezada</t>
        </is>
      </c>
      <c r="J381" t="inlineStr">
        <is>
          <t>Pendiente</t>
        </is>
      </c>
      <c r="K381"/>
      <c r="L381"/>
      <c r="M381"/>
      <c r="N381">
        <f>IF(AND(ISNUMBER(L381),ISNUMBER(M381)),L381*M381/100,"")</f>
      </c>
      <c r="O381"/>
    </row>
    <row r="382">
      <c r="A382"/>
      <c r="B382"/>
      <c r="C382"/>
      <c r="D382"/>
      <c r="E382"/>
      <c r="F382"/>
      <c r="G382"/>
      <c r="H382"/>
      <c r="I382" t="inlineStr">
        <is>
          <t>No empezada</t>
        </is>
      </c>
      <c r="J382" t="inlineStr">
        <is>
          <t>Pendiente</t>
        </is>
      </c>
      <c r="K382"/>
      <c r="L382"/>
      <c r="M382"/>
      <c r="N382">
        <f>IF(AND(ISNUMBER(L382),ISNUMBER(M382)),L382*M382/100,"")</f>
      </c>
      <c r="O382"/>
    </row>
    <row r="383">
      <c r="A383"/>
      <c r="B383"/>
      <c r="C383"/>
      <c r="D383"/>
      <c r="E383"/>
      <c r="F383"/>
      <c r="G383"/>
      <c r="H383"/>
      <c r="I383" t="inlineStr">
        <is>
          <t>No empezada</t>
        </is>
      </c>
      <c r="J383" t="inlineStr">
        <is>
          <t>Pendiente</t>
        </is>
      </c>
      <c r="K383"/>
      <c r="L383"/>
      <c r="M383"/>
      <c r="N383">
        <f>IF(AND(ISNUMBER(L383),ISNUMBER(M383)),L383*M383/100,"")</f>
      </c>
      <c r="O383"/>
    </row>
    <row r="384">
      <c r="A384"/>
      <c r="B384"/>
      <c r="C384"/>
      <c r="D384"/>
      <c r="E384"/>
      <c r="F384"/>
      <c r="G384"/>
      <c r="H384"/>
      <c r="I384" t="inlineStr">
        <is>
          <t>No empezada</t>
        </is>
      </c>
      <c r="J384" t="inlineStr">
        <is>
          <t>Pendiente</t>
        </is>
      </c>
      <c r="K384"/>
      <c r="L384"/>
      <c r="M384"/>
      <c r="N384">
        <f>IF(AND(ISNUMBER(L384),ISNUMBER(M384)),L384*M384/100,"")</f>
      </c>
      <c r="O384"/>
    </row>
    <row r="385">
      <c r="A385"/>
      <c r="B385"/>
      <c r="C385"/>
      <c r="D385"/>
      <c r="E385"/>
      <c r="F385"/>
      <c r="G385"/>
      <c r="H385"/>
      <c r="I385" t="inlineStr">
        <is>
          <t>No empezada</t>
        </is>
      </c>
      <c r="J385" t="inlineStr">
        <is>
          <t>Pendiente</t>
        </is>
      </c>
      <c r="K385"/>
      <c r="L385"/>
      <c r="M385"/>
      <c r="N385">
        <f>IF(AND(ISNUMBER(L385),ISNUMBER(M385)),L385*M385/100,"")</f>
      </c>
      <c r="O385"/>
    </row>
    <row r="386">
      <c r="A386"/>
      <c r="B386"/>
      <c r="C386"/>
      <c r="D386"/>
      <c r="E386"/>
      <c r="F386"/>
      <c r="G386"/>
      <c r="H386"/>
      <c r="I386" t="inlineStr">
        <is>
          <t>No empezada</t>
        </is>
      </c>
      <c r="J386" t="inlineStr">
        <is>
          <t>Pendiente</t>
        </is>
      </c>
      <c r="K386"/>
      <c r="L386"/>
      <c r="M386"/>
      <c r="N386">
        <f>IF(AND(ISNUMBER(L386),ISNUMBER(M386)),L386*M386/100,"")</f>
      </c>
      <c r="O386"/>
    </row>
    <row r="387">
      <c r="A387"/>
      <c r="B387"/>
      <c r="C387"/>
      <c r="D387"/>
      <c r="E387"/>
      <c r="F387"/>
      <c r="G387"/>
      <c r="H387"/>
      <c r="I387" t="inlineStr">
        <is>
          <t>No empezada</t>
        </is>
      </c>
      <c r="J387" t="inlineStr">
        <is>
          <t>Pendiente</t>
        </is>
      </c>
      <c r="K387"/>
      <c r="L387"/>
      <c r="M387"/>
      <c r="N387">
        <f>IF(AND(ISNUMBER(L387),ISNUMBER(M387)),L387*M387/100,"")</f>
      </c>
      <c r="O387"/>
    </row>
    <row r="388">
      <c r="A388"/>
      <c r="B388"/>
      <c r="C388"/>
      <c r="D388"/>
      <c r="E388"/>
      <c r="F388"/>
      <c r="G388"/>
      <c r="H388"/>
      <c r="I388" t="inlineStr">
        <is>
          <t>No empezada</t>
        </is>
      </c>
      <c r="J388" t="inlineStr">
        <is>
          <t>Pendiente</t>
        </is>
      </c>
      <c r="K388"/>
      <c r="L388"/>
      <c r="M388"/>
      <c r="N388">
        <f>IF(AND(ISNUMBER(L388),ISNUMBER(M388)),L388*M388/100,"")</f>
      </c>
      <c r="O388"/>
    </row>
    <row r="389">
      <c r="A389"/>
      <c r="B389"/>
      <c r="C389"/>
      <c r="D389"/>
      <c r="E389"/>
      <c r="F389"/>
      <c r="G389"/>
      <c r="H389"/>
      <c r="I389" t="inlineStr">
        <is>
          <t>No empezada</t>
        </is>
      </c>
      <c r="J389" t="inlineStr">
        <is>
          <t>Pendiente</t>
        </is>
      </c>
      <c r="K389"/>
      <c r="L389"/>
      <c r="M389"/>
      <c r="N389">
        <f>IF(AND(ISNUMBER(L389),ISNUMBER(M389)),L389*M389/100,"")</f>
      </c>
      <c r="O389"/>
    </row>
    <row r="390">
      <c r="A390"/>
      <c r="B390"/>
      <c r="C390"/>
      <c r="D390"/>
      <c r="E390"/>
      <c r="F390"/>
      <c r="G390"/>
      <c r="H390"/>
      <c r="I390" t="inlineStr">
        <is>
          <t>No empezada</t>
        </is>
      </c>
      <c r="J390" t="inlineStr">
        <is>
          <t>Pendiente</t>
        </is>
      </c>
      <c r="K390"/>
      <c r="L390"/>
      <c r="M390"/>
      <c r="N390">
        <f>IF(AND(ISNUMBER(L390),ISNUMBER(M390)),L390*M390/100,"")</f>
      </c>
      <c r="O390"/>
    </row>
    <row r="391">
      <c r="A391"/>
      <c r="B391"/>
      <c r="C391"/>
      <c r="D391"/>
      <c r="E391"/>
      <c r="F391"/>
      <c r="G391"/>
      <c r="H391"/>
      <c r="I391" t="inlineStr">
        <is>
          <t>No empezada</t>
        </is>
      </c>
      <c r="J391" t="inlineStr">
        <is>
          <t>Pendiente</t>
        </is>
      </c>
      <c r="K391"/>
      <c r="L391"/>
      <c r="M391"/>
      <c r="N391">
        <f>IF(AND(ISNUMBER(L391),ISNUMBER(M391)),L391*M391/100,"")</f>
      </c>
      <c r="O391"/>
    </row>
    <row r="392">
      <c r="A392"/>
      <c r="B392"/>
      <c r="C392"/>
      <c r="D392"/>
      <c r="E392"/>
      <c r="F392"/>
      <c r="G392"/>
      <c r="H392"/>
      <c r="I392" t="inlineStr">
        <is>
          <t>No empezada</t>
        </is>
      </c>
      <c r="J392" t="inlineStr">
        <is>
          <t>Pendiente</t>
        </is>
      </c>
      <c r="K392"/>
      <c r="L392"/>
      <c r="M392"/>
      <c r="N392">
        <f>IF(AND(ISNUMBER(L392),ISNUMBER(M392)),L392*M392/100,"")</f>
      </c>
      <c r="O392"/>
    </row>
    <row r="393">
      <c r="A393"/>
      <c r="B393"/>
      <c r="C393"/>
      <c r="D393"/>
      <c r="E393"/>
      <c r="F393"/>
      <c r="G393"/>
      <c r="H393"/>
      <c r="I393" t="inlineStr">
        <is>
          <t>No empezada</t>
        </is>
      </c>
      <c r="J393" t="inlineStr">
        <is>
          <t>Pendiente</t>
        </is>
      </c>
      <c r="K393"/>
      <c r="L393"/>
      <c r="M393"/>
      <c r="N393">
        <f>IF(AND(ISNUMBER(L393),ISNUMBER(M393)),L393*M393/100,"")</f>
      </c>
      <c r="O393"/>
    </row>
    <row r="394">
      <c r="A394"/>
      <c r="B394"/>
      <c r="C394"/>
      <c r="D394"/>
      <c r="E394"/>
      <c r="F394"/>
      <c r="G394"/>
      <c r="H394"/>
      <c r="I394" t="inlineStr">
        <is>
          <t>No empezada</t>
        </is>
      </c>
      <c r="J394" t="inlineStr">
        <is>
          <t>Pendiente</t>
        </is>
      </c>
      <c r="K394"/>
      <c r="L394"/>
      <c r="M394"/>
      <c r="N394">
        <f>IF(AND(ISNUMBER(L394),ISNUMBER(M394)),L394*M394/100,"")</f>
      </c>
      <c r="O394"/>
    </row>
    <row r="395">
      <c r="A395"/>
      <c r="B395"/>
      <c r="C395"/>
      <c r="D395"/>
      <c r="E395"/>
      <c r="F395"/>
      <c r="G395"/>
      <c r="H395"/>
      <c r="I395" t="inlineStr">
        <is>
          <t>No empezada</t>
        </is>
      </c>
      <c r="J395" t="inlineStr">
        <is>
          <t>Pendiente</t>
        </is>
      </c>
      <c r="K395"/>
      <c r="L395"/>
      <c r="M395"/>
      <c r="N395">
        <f>IF(AND(ISNUMBER(L395),ISNUMBER(M395)),L395*M395/100,"")</f>
      </c>
      <c r="O395"/>
    </row>
    <row r="396">
      <c r="A396"/>
      <c r="B396"/>
      <c r="C396"/>
      <c r="D396"/>
      <c r="E396"/>
      <c r="F396"/>
      <c r="G396"/>
      <c r="H396"/>
      <c r="I396" t="inlineStr">
        <is>
          <t>No empezada</t>
        </is>
      </c>
      <c r="J396" t="inlineStr">
        <is>
          <t>Pendiente</t>
        </is>
      </c>
      <c r="K396"/>
      <c r="L396"/>
      <c r="M396"/>
      <c r="N396">
        <f>IF(AND(ISNUMBER(L396),ISNUMBER(M396)),L396*M396/100,"")</f>
      </c>
      <c r="O396"/>
    </row>
    <row r="397">
      <c r="A397"/>
      <c r="B397"/>
      <c r="C397"/>
      <c r="D397"/>
      <c r="E397"/>
      <c r="F397"/>
      <c r="G397"/>
      <c r="H397"/>
      <c r="I397" t="inlineStr">
        <is>
          <t>No empezada</t>
        </is>
      </c>
      <c r="J397" t="inlineStr">
        <is>
          <t>Pendiente</t>
        </is>
      </c>
      <c r="K397"/>
      <c r="L397"/>
      <c r="M397"/>
      <c r="N397">
        <f>IF(AND(ISNUMBER(L397),ISNUMBER(M397)),L397*M397/100,"")</f>
      </c>
      <c r="O397"/>
    </row>
    <row r="398">
      <c r="A398"/>
      <c r="B398"/>
      <c r="C398"/>
      <c r="D398"/>
      <c r="E398"/>
      <c r="F398"/>
      <c r="G398"/>
      <c r="H398"/>
      <c r="I398" t="inlineStr">
        <is>
          <t>No empezada</t>
        </is>
      </c>
      <c r="J398" t="inlineStr">
        <is>
          <t>Pendiente</t>
        </is>
      </c>
      <c r="K398"/>
      <c r="L398"/>
      <c r="M398"/>
      <c r="N398">
        <f>IF(AND(ISNUMBER(L398),ISNUMBER(M398)),L398*M398/100,"")</f>
      </c>
      <c r="O398"/>
    </row>
    <row r="399">
      <c r="A399"/>
      <c r="B399"/>
      <c r="C399"/>
      <c r="D399"/>
      <c r="E399"/>
      <c r="F399"/>
      <c r="G399"/>
      <c r="H399"/>
      <c r="I399" t="inlineStr">
        <is>
          <t>No empezada</t>
        </is>
      </c>
      <c r="J399" t="inlineStr">
        <is>
          <t>Pendiente</t>
        </is>
      </c>
      <c r="K399"/>
      <c r="L399"/>
      <c r="M399"/>
      <c r="N399">
        <f>IF(AND(ISNUMBER(L399),ISNUMBER(M399)),L399*M399/100,"")</f>
      </c>
      <c r="O399"/>
    </row>
    <row r="400">
      <c r="A400"/>
      <c r="B400"/>
      <c r="C400"/>
      <c r="D400"/>
      <c r="E400"/>
      <c r="F400"/>
      <c r="G400"/>
      <c r="H400"/>
      <c r="I400" t="inlineStr">
        <is>
          <t>No empezada</t>
        </is>
      </c>
      <c r="J400" t="inlineStr">
        <is>
          <t>Pendiente</t>
        </is>
      </c>
      <c r="K400"/>
      <c r="L400"/>
      <c r="M400"/>
      <c r="N400">
        <f>IF(AND(ISNUMBER(L400),ISNUMBER(M400)),L400*M400/100,"")</f>
      </c>
      <c r="O400"/>
    </row>
    <row r="401">
      <c r="A401"/>
      <c r="B401"/>
      <c r="C401"/>
      <c r="D401"/>
      <c r="E401"/>
      <c r="F401"/>
      <c r="G401"/>
      <c r="H401"/>
      <c r="I401" t="inlineStr">
        <is>
          <t>No empezada</t>
        </is>
      </c>
      <c r="J401" t="inlineStr">
        <is>
          <t>Pendiente</t>
        </is>
      </c>
      <c r="K401"/>
      <c r="L401"/>
      <c r="M401"/>
      <c r="N401">
        <f>IF(AND(ISNUMBER(L401),ISNUMBER(M401)),L401*M401/100,"")</f>
      </c>
      <c r="O401"/>
    </row>
    <row r="402">
      <c r="A402"/>
      <c r="B402"/>
      <c r="C402"/>
      <c r="D402"/>
      <c r="E402"/>
      <c r="F402"/>
      <c r="G402"/>
      <c r="H402"/>
      <c r="I402" t="inlineStr">
        <is>
          <t>No empezada</t>
        </is>
      </c>
      <c r="J402" t="inlineStr">
        <is>
          <t>Pendiente</t>
        </is>
      </c>
      <c r="K402"/>
      <c r="L402"/>
      <c r="M402"/>
      <c r="N402">
        <f>IF(AND(ISNUMBER(L402),ISNUMBER(M402)),L402*M402/100,"")</f>
      </c>
      <c r="O402"/>
    </row>
    <row r="403">
      <c r="A403"/>
      <c r="B403"/>
      <c r="C403"/>
      <c r="D403"/>
      <c r="E403"/>
      <c r="F403"/>
      <c r="G403"/>
      <c r="H403"/>
      <c r="I403" t="inlineStr">
        <is>
          <t>No empezada</t>
        </is>
      </c>
      <c r="J403" t="inlineStr">
        <is>
          <t>Pendiente</t>
        </is>
      </c>
      <c r="K403"/>
      <c r="L403"/>
      <c r="M403"/>
      <c r="N403">
        <f>IF(AND(ISNUMBER(L403),ISNUMBER(M403)),L403*M403/100,"")</f>
      </c>
      <c r="O403"/>
    </row>
    <row r="404">
      <c r="A404"/>
      <c r="B404"/>
      <c r="C404"/>
      <c r="D404"/>
      <c r="E404"/>
      <c r="F404"/>
      <c r="G404"/>
      <c r="H404"/>
      <c r="I404" t="inlineStr">
        <is>
          <t>No empezada</t>
        </is>
      </c>
      <c r="J404" t="inlineStr">
        <is>
          <t>Pendiente</t>
        </is>
      </c>
      <c r="K404"/>
      <c r="L404"/>
      <c r="M404"/>
      <c r="N404">
        <f>IF(AND(ISNUMBER(L404),ISNUMBER(M404)),L404*M404/100,"")</f>
      </c>
      <c r="O404"/>
    </row>
    <row r="405">
      <c r="A405"/>
      <c r="B405"/>
      <c r="C405"/>
      <c r="D405"/>
      <c r="E405"/>
      <c r="F405"/>
      <c r="G405"/>
      <c r="H405"/>
      <c r="I405" t="inlineStr">
        <is>
          <t>No empezada</t>
        </is>
      </c>
      <c r="J405" t="inlineStr">
        <is>
          <t>Pendiente</t>
        </is>
      </c>
      <c r="K405"/>
      <c r="L405"/>
      <c r="M405"/>
      <c r="N405">
        <f>IF(AND(ISNUMBER(L405),ISNUMBER(M405)),L405*M405/100,"")</f>
      </c>
      <c r="O405"/>
    </row>
    <row r="406">
      <c r="A406"/>
      <c r="B406"/>
      <c r="C406"/>
      <c r="D406"/>
      <c r="E406"/>
      <c r="F406"/>
      <c r="G406"/>
      <c r="H406"/>
      <c r="I406" t="inlineStr">
        <is>
          <t>No empezada</t>
        </is>
      </c>
      <c r="J406" t="inlineStr">
        <is>
          <t>Pendiente</t>
        </is>
      </c>
      <c r="K406"/>
      <c r="L406"/>
      <c r="M406"/>
      <c r="N406">
        <f>IF(AND(ISNUMBER(L406),ISNUMBER(M406)),L406*M406/100,"")</f>
      </c>
      <c r="O406"/>
    </row>
    <row r="407">
      <c r="A407"/>
      <c r="B407"/>
      <c r="C407"/>
      <c r="D407"/>
      <c r="E407"/>
      <c r="F407"/>
      <c r="G407"/>
      <c r="H407"/>
      <c r="I407" t="inlineStr">
        <is>
          <t>No empezada</t>
        </is>
      </c>
      <c r="J407" t="inlineStr">
        <is>
          <t>Pendiente</t>
        </is>
      </c>
      <c r="K407"/>
      <c r="L407"/>
      <c r="M407"/>
      <c r="N407">
        <f>IF(AND(ISNUMBER(L407),ISNUMBER(M407)),L407*M407/100,"")</f>
      </c>
      <c r="O407"/>
    </row>
    <row r="408">
      <c r="A408"/>
      <c r="B408"/>
      <c r="C408"/>
      <c r="D408"/>
      <c r="E408"/>
      <c r="F408"/>
      <c r="G408"/>
      <c r="H408"/>
      <c r="I408" t="inlineStr">
        <is>
          <t>No empezada</t>
        </is>
      </c>
      <c r="J408" t="inlineStr">
        <is>
          <t>Pendiente</t>
        </is>
      </c>
      <c r="K408"/>
      <c r="L408"/>
      <c r="M408"/>
      <c r="N408">
        <f>IF(AND(ISNUMBER(L408),ISNUMBER(M408)),L408*M408/100,"")</f>
      </c>
      <c r="O408"/>
    </row>
    <row r="409">
      <c r="A409"/>
      <c r="B409"/>
      <c r="C409"/>
      <c r="D409"/>
      <c r="E409"/>
      <c r="F409"/>
      <c r="G409"/>
      <c r="H409"/>
      <c r="I409" t="inlineStr">
        <is>
          <t>No empezada</t>
        </is>
      </c>
      <c r="J409" t="inlineStr">
        <is>
          <t>Pendiente</t>
        </is>
      </c>
      <c r="K409"/>
      <c r="L409"/>
      <c r="M409"/>
      <c r="N409">
        <f>IF(AND(ISNUMBER(L409),ISNUMBER(M409)),L409*M409/100,"")</f>
      </c>
      <c r="O409"/>
    </row>
    <row r="410">
      <c r="A410"/>
      <c r="B410"/>
      <c r="C410"/>
      <c r="D410"/>
      <c r="E410"/>
      <c r="F410"/>
      <c r="G410"/>
      <c r="H410"/>
      <c r="I410" t="inlineStr">
        <is>
          <t>No empezada</t>
        </is>
      </c>
      <c r="J410" t="inlineStr">
        <is>
          <t>Pendiente</t>
        </is>
      </c>
      <c r="K410"/>
      <c r="L410"/>
      <c r="M410"/>
      <c r="N410">
        <f>IF(AND(ISNUMBER(L410),ISNUMBER(M410)),L410*M410/100,"")</f>
      </c>
      <c r="O410"/>
    </row>
    <row r="411">
      <c r="A411"/>
      <c r="B411"/>
      <c r="C411"/>
      <c r="D411"/>
      <c r="E411"/>
      <c r="F411"/>
      <c r="G411"/>
      <c r="H411"/>
      <c r="I411" t="inlineStr">
        <is>
          <t>No empezada</t>
        </is>
      </c>
      <c r="J411" t="inlineStr">
        <is>
          <t>Pendiente</t>
        </is>
      </c>
      <c r="K411"/>
      <c r="L411"/>
      <c r="M411"/>
      <c r="N411">
        <f>IF(AND(ISNUMBER(L411),ISNUMBER(M411)),L411*M411/100,"")</f>
      </c>
      <c r="O411"/>
    </row>
    <row r="412">
      <c r="A412"/>
      <c r="B412"/>
      <c r="C412"/>
      <c r="D412"/>
      <c r="E412"/>
      <c r="F412"/>
      <c r="G412"/>
      <c r="H412"/>
      <c r="I412" t="inlineStr">
        <is>
          <t>No empezada</t>
        </is>
      </c>
      <c r="J412" t="inlineStr">
        <is>
          <t>Pendiente</t>
        </is>
      </c>
      <c r="K412"/>
      <c r="L412"/>
      <c r="M412"/>
      <c r="N412">
        <f>IF(AND(ISNUMBER(L412),ISNUMBER(M412)),L412*M412/100,"")</f>
      </c>
      <c r="O412"/>
    </row>
    <row r="413">
      <c r="A413"/>
      <c r="B413"/>
      <c r="C413"/>
      <c r="D413"/>
      <c r="E413"/>
      <c r="F413"/>
      <c r="G413"/>
      <c r="H413"/>
      <c r="I413" t="inlineStr">
        <is>
          <t>No empezada</t>
        </is>
      </c>
      <c r="J413" t="inlineStr">
        <is>
          <t>Pendiente</t>
        </is>
      </c>
      <c r="K413"/>
      <c r="L413"/>
      <c r="M413"/>
      <c r="N413">
        <f>IF(AND(ISNUMBER(L413),ISNUMBER(M413)),L413*M413/100,"")</f>
      </c>
      <c r="O413"/>
    </row>
    <row r="414">
      <c r="A414"/>
      <c r="B414"/>
      <c r="C414"/>
      <c r="D414"/>
      <c r="E414"/>
      <c r="F414"/>
      <c r="G414"/>
      <c r="H414"/>
      <c r="I414" t="inlineStr">
        <is>
          <t>No empezada</t>
        </is>
      </c>
      <c r="J414" t="inlineStr">
        <is>
          <t>Pendiente</t>
        </is>
      </c>
      <c r="K414"/>
      <c r="L414"/>
      <c r="M414"/>
      <c r="N414">
        <f>IF(AND(ISNUMBER(L414),ISNUMBER(M414)),L414*M414/100,"")</f>
      </c>
      <c r="O414"/>
    </row>
    <row r="415">
      <c r="A415"/>
      <c r="B415"/>
      <c r="C415"/>
      <c r="D415"/>
      <c r="E415"/>
      <c r="F415"/>
      <c r="G415"/>
      <c r="H415"/>
      <c r="I415" t="inlineStr">
        <is>
          <t>No empezada</t>
        </is>
      </c>
      <c r="J415" t="inlineStr">
        <is>
          <t>Pendiente</t>
        </is>
      </c>
      <c r="K415"/>
      <c r="L415"/>
      <c r="M415"/>
      <c r="N415">
        <f>IF(AND(ISNUMBER(L415),ISNUMBER(M415)),L415*M415/100,"")</f>
      </c>
      <c r="O415"/>
    </row>
    <row r="416">
      <c r="A416"/>
      <c r="B416"/>
      <c r="C416"/>
      <c r="D416"/>
      <c r="E416"/>
      <c r="F416"/>
      <c r="G416"/>
      <c r="H416"/>
      <c r="I416" t="inlineStr">
        <is>
          <t>No empezada</t>
        </is>
      </c>
      <c r="J416" t="inlineStr">
        <is>
          <t>Pendiente</t>
        </is>
      </c>
      <c r="K416"/>
      <c r="L416"/>
      <c r="M416"/>
      <c r="N416">
        <f>IF(AND(ISNUMBER(L416),ISNUMBER(M416)),L416*M416/100,"")</f>
      </c>
      <c r="O416"/>
    </row>
    <row r="417">
      <c r="A417"/>
      <c r="B417"/>
      <c r="C417"/>
      <c r="D417"/>
      <c r="E417"/>
      <c r="F417"/>
      <c r="G417"/>
      <c r="H417"/>
      <c r="I417" t="inlineStr">
        <is>
          <t>No empezada</t>
        </is>
      </c>
      <c r="J417" t="inlineStr">
        <is>
          <t>Pendiente</t>
        </is>
      </c>
      <c r="K417"/>
      <c r="L417"/>
      <c r="M417"/>
      <c r="N417">
        <f>IF(AND(ISNUMBER(L417),ISNUMBER(M417)),L417*M417/100,"")</f>
      </c>
      <c r="O417"/>
    </row>
    <row r="418">
      <c r="A418"/>
      <c r="B418"/>
      <c r="C418"/>
      <c r="D418"/>
      <c r="E418"/>
      <c r="F418"/>
      <c r="G418"/>
      <c r="H418"/>
      <c r="I418" t="inlineStr">
        <is>
          <t>No empezada</t>
        </is>
      </c>
      <c r="J418" t="inlineStr">
        <is>
          <t>Pendiente</t>
        </is>
      </c>
      <c r="K418"/>
      <c r="L418"/>
      <c r="M418"/>
      <c r="N418">
        <f>IF(AND(ISNUMBER(L418),ISNUMBER(M418)),L418*M418/100,"")</f>
      </c>
      <c r="O418"/>
    </row>
    <row r="419">
      <c r="A419"/>
      <c r="B419"/>
      <c r="C419"/>
      <c r="D419"/>
      <c r="E419"/>
      <c r="F419"/>
      <c r="G419"/>
      <c r="H419"/>
      <c r="I419" t="inlineStr">
        <is>
          <t>No empezada</t>
        </is>
      </c>
      <c r="J419" t="inlineStr">
        <is>
          <t>Pendiente</t>
        </is>
      </c>
      <c r="K419"/>
      <c r="L419"/>
      <c r="M419"/>
      <c r="N419">
        <f>IF(AND(ISNUMBER(L419),ISNUMBER(M419)),L419*M419/100,"")</f>
      </c>
      <c r="O419"/>
    </row>
    <row r="420">
      <c r="A420"/>
      <c r="B420"/>
      <c r="C420"/>
      <c r="D420"/>
      <c r="E420"/>
      <c r="F420"/>
      <c r="G420"/>
      <c r="H420"/>
      <c r="I420" t="inlineStr">
        <is>
          <t>No empezada</t>
        </is>
      </c>
      <c r="J420" t="inlineStr">
        <is>
          <t>Pendiente</t>
        </is>
      </c>
      <c r="K420"/>
      <c r="L420"/>
      <c r="M420"/>
      <c r="N420">
        <f>IF(AND(ISNUMBER(L420),ISNUMBER(M420)),L420*M420/100,"")</f>
      </c>
      <c r="O420"/>
    </row>
    <row r="421">
      <c r="A421"/>
      <c r="B421"/>
      <c r="C421"/>
      <c r="D421"/>
      <c r="E421"/>
      <c r="F421"/>
      <c r="G421"/>
      <c r="H421"/>
      <c r="I421" t="inlineStr">
        <is>
          <t>No empezada</t>
        </is>
      </c>
      <c r="J421" t="inlineStr">
        <is>
          <t>Pendiente</t>
        </is>
      </c>
      <c r="K421"/>
      <c r="L421"/>
      <c r="M421"/>
      <c r="N421">
        <f>IF(AND(ISNUMBER(L421),ISNUMBER(M421)),L421*M421/100,"")</f>
      </c>
      <c r="O421"/>
    </row>
    <row r="422">
      <c r="A422"/>
      <c r="B422"/>
      <c r="C422"/>
      <c r="D422"/>
      <c r="E422"/>
      <c r="F422"/>
      <c r="G422"/>
      <c r="H422"/>
      <c r="I422" t="inlineStr">
        <is>
          <t>No empezada</t>
        </is>
      </c>
      <c r="J422" t="inlineStr">
        <is>
          <t>Pendiente</t>
        </is>
      </c>
      <c r="K422"/>
      <c r="L422"/>
      <c r="M422"/>
      <c r="N422">
        <f>IF(AND(ISNUMBER(L422),ISNUMBER(M422)),L422*M422/100,"")</f>
      </c>
      <c r="O422"/>
    </row>
    <row r="423">
      <c r="A423"/>
      <c r="B423"/>
      <c r="C423"/>
      <c r="D423"/>
      <c r="E423"/>
      <c r="F423"/>
      <c r="G423"/>
      <c r="H423"/>
      <c r="I423" t="inlineStr">
        <is>
          <t>No empezada</t>
        </is>
      </c>
      <c r="J423" t="inlineStr">
        <is>
          <t>Pendiente</t>
        </is>
      </c>
      <c r="K423"/>
      <c r="L423"/>
      <c r="M423"/>
      <c r="N423">
        <f>IF(AND(ISNUMBER(L423),ISNUMBER(M423)),L423*M423/100,"")</f>
      </c>
      <c r="O423"/>
    </row>
    <row r="424">
      <c r="A424"/>
      <c r="B424"/>
      <c r="C424"/>
      <c r="D424"/>
      <c r="E424"/>
      <c r="F424"/>
      <c r="G424"/>
      <c r="H424"/>
      <c r="I424" t="inlineStr">
        <is>
          <t>No empezada</t>
        </is>
      </c>
      <c r="J424" t="inlineStr">
        <is>
          <t>Pendiente</t>
        </is>
      </c>
      <c r="K424"/>
      <c r="L424"/>
      <c r="M424"/>
      <c r="N424">
        <f>IF(AND(ISNUMBER(L424),ISNUMBER(M424)),L424*M424/100,"")</f>
      </c>
      <c r="O424"/>
    </row>
    <row r="425">
      <c r="A425"/>
      <c r="B425"/>
      <c r="C425"/>
      <c r="D425"/>
      <c r="E425"/>
      <c r="F425"/>
      <c r="G425"/>
      <c r="H425"/>
      <c r="I425" t="inlineStr">
        <is>
          <t>No empezada</t>
        </is>
      </c>
      <c r="J425" t="inlineStr">
        <is>
          <t>Pendiente</t>
        </is>
      </c>
      <c r="K425"/>
      <c r="L425"/>
      <c r="M425"/>
      <c r="N425">
        <f>IF(AND(ISNUMBER(L425),ISNUMBER(M425)),L425*M425/100,"")</f>
      </c>
      <c r="O425"/>
    </row>
    <row r="426">
      <c r="A426"/>
      <c r="B426"/>
      <c r="C426"/>
      <c r="D426"/>
      <c r="E426"/>
      <c r="F426"/>
      <c r="G426"/>
      <c r="H426"/>
      <c r="I426" t="inlineStr">
        <is>
          <t>No empezada</t>
        </is>
      </c>
      <c r="J426" t="inlineStr">
        <is>
          <t>Pendiente</t>
        </is>
      </c>
      <c r="K426"/>
      <c r="L426"/>
      <c r="M426"/>
      <c r="N426">
        <f>IF(AND(ISNUMBER(L426),ISNUMBER(M426)),L426*M426/100,"")</f>
      </c>
      <c r="O426"/>
    </row>
    <row r="427">
      <c r="A427"/>
      <c r="B427"/>
      <c r="C427"/>
      <c r="D427"/>
      <c r="E427"/>
      <c r="F427"/>
      <c r="G427"/>
      <c r="H427"/>
      <c r="I427" t="inlineStr">
        <is>
          <t>No empezada</t>
        </is>
      </c>
      <c r="J427" t="inlineStr">
        <is>
          <t>Pendiente</t>
        </is>
      </c>
      <c r="K427"/>
      <c r="L427"/>
      <c r="M427"/>
      <c r="N427">
        <f>IF(AND(ISNUMBER(L427),ISNUMBER(M427)),L427*M427/100,"")</f>
      </c>
      <c r="O427"/>
    </row>
    <row r="428">
      <c r="A428"/>
      <c r="B428"/>
      <c r="C428"/>
      <c r="D428"/>
      <c r="E428"/>
      <c r="F428"/>
      <c r="G428"/>
      <c r="H428"/>
      <c r="I428" t="inlineStr">
        <is>
          <t>No empezada</t>
        </is>
      </c>
      <c r="J428" t="inlineStr">
        <is>
          <t>Pendiente</t>
        </is>
      </c>
      <c r="K428"/>
      <c r="L428"/>
      <c r="M428"/>
      <c r="N428">
        <f>IF(AND(ISNUMBER(L428),ISNUMBER(M428)),L428*M428/100,"")</f>
      </c>
      <c r="O428"/>
    </row>
    <row r="429">
      <c r="A429"/>
      <c r="B429"/>
      <c r="C429"/>
      <c r="D429"/>
      <c r="E429"/>
      <c r="F429"/>
      <c r="G429"/>
      <c r="H429"/>
      <c r="I429" t="inlineStr">
        <is>
          <t>No empezada</t>
        </is>
      </c>
      <c r="J429" t="inlineStr">
        <is>
          <t>Pendiente</t>
        </is>
      </c>
      <c r="K429"/>
      <c r="L429"/>
      <c r="M429"/>
      <c r="N429">
        <f>IF(AND(ISNUMBER(L429),ISNUMBER(M429)),L429*M429/100,"")</f>
      </c>
      <c r="O429"/>
    </row>
    <row r="430">
      <c r="A430"/>
      <c r="B430"/>
      <c r="C430"/>
      <c r="D430"/>
      <c r="E430"/>
      <c r="F430"/>
      <c r="G430"/>
      <c r="H430"/>
      <c r="I430" t="inlineStr">
        <is>
          <t>No empezada</t>
        </is>
      </c>
      <c r="J430" t="inlineStr">
        <is>
          <t>Pendiente</t>
        </is>
      </c>
      <c r="K430"/>
      <c r="L430"/>
      <c r="M430"/>
      <c r="N430">
        <f>IF(AND(ISNUMBER(L430),ISNUMBER(M430)),L430*M430/100,"")</f>
      </c>
      <c r="O430"/>
    </row>
    <row r="431">
      <c r="A431"/>
      <c r="B431"/>
      <c r="C431"/>
      <c r="D431"/>
      <c r="E431"/>
      <c r="F431"/>
      <c r="G431"/>
      <c r="H431"/>
      <c r="I431" t="inlineStr">
        <is>
          <t>No empezada</t>
        </is>
      </c>
      <c r="J431" t="inlineStr">
        <is>
          <t>Pendiente</t>
        </is>
      </c>
      <c r="K431"/>
      <c r="L431"/>
      <c r="M431"/>
      <c r="N431">
        <f>IF(AND(ISNUMBER(L431),ISNUMBER(M431)),L431*M431/100,"")</f>
      </c>
      <c r="O431"/>
    </row>
    <row r="432">
      <c r="A432"/>
      <c r="B432"/>
      <c r="C432"/>
      <c r="D432"/>
      <c r="E432"/>
      <c r="F432"/>
      <c r="G432"/>
      <c r="H432"/>
      <c r="I432" t="inlineStr">
        <is>
          <t>No empezada</t>
        </is>
      </c>
      <c r="J432" t="inlineStr">
        <is>
          <t>Pendiente</t>
        </is>
      </c>
      <c r="K432"/>
      <c r="L432"/>
      <c r="M432"/>
      <c r="N432">
        <f>IF(AND(ISNUMBER(L432),ISNUMBER(M432)),L432*M432/100,"")</f>
      </c>
      <c r="O432"/>
    </row>
    <row r="433">
      <c r="A433"/>
      <c r="B433"/>
      <c r="C433"/>
      <c r="D433"/>
      <c r="E433"/>
      <c r="F433"/>
      <c r="G433"/>
      <c r="H433"/>
      <c r="I433" t="inlineStr">
        <is>
          <t>No empezada</t>
        </is>
      </c>
      <c r="J433" t="inlineStr">
        <is>
          <t>Pendiente</t>
        </is>
      </c>
      <c r="K433"/>
      <c r="L433"/>
      <c r="M433"/>
      <c r="N433">
        <f>IF(AND(ISNUMBER(L433),ISNUMBER(M433)),L433*M433/100,"")</f>
      </c>
      <c r="O433"/>
    </row>
    <row r="434">
      <c r="A434"/>
      <c r="B434"/>
      <c r="C434"/>
      <c r="D434"/>
      <c r="E434"/>
      <c r="F434"/>
      <c r="G434"/>
      <c r="H434"/>
      <c r="I434" t="inlineStr">
        <is>
          <t>No empezada</t>
        </is>
      </c>
      <c r="J434" t="inlineStr">
        <is>
          <t>Pendiente</t>
        </is>
      </c>
      <c r="K434"/>
      <c r="L434"/>
      <c r="M434"/>
      <c r="N434">
        <f>IF(AND(ISNUMBER(L434),ISNUMBER(M434)),L434*M434/100,"")</f>
      </c>
      <c r="O434"/>
    </row>
    <row r="435">
      <c r="A435"/>
      <c r="B435"/>
      <c r="C435"/>
      <c r="D435"/>
      <c r="E435"/>
      <c r="F435"/>
      <c r="G435"/>
      <c r="H435"/>
      <c r="I435" t="inlineStr">
        <is>
          <t>No empezada</t>
        </is>
      </c>
      <c r="J435" t="inlineStr">
        <is>
          <t>Pendiente</t>
        </is>
      </c>
      <c r="K435"/>
      <c r="L435"/>
      <c r="M435"/>
      <c r="N435">
        <f>IF(AND(ISNUMBER(L435),ISNUMBER(M435)),L435*M435/100,"")</f>
      </c>
      <c r="O435"/>
    </row>
    <row r="436">
      <c r="A436"/>
      <c r="B436"/>
      <c r="C436"/>
      <c r="D436"/>
      <c r="E436"/>
      <c r="F436"/>
      <c r="G436"/>
      <c r="H436"/>
      <c r="I436" t="inlineStr">
        <is>
          <t>No empezada</t>
        </is>
      </c>
      <c r="J436" t="inlineStr">
        <is>
          <t>Pendiente</t>
        </is>
      </c>
      <c r="K436"/>
      <c r="L436"/>
      <c r="M436"/>
      <c r="N436">
        <f>IF(AND(ISNUMBER(L436),ISNUMBER(M436)),L436*M436/100,"")</f>
      </c>
      <c r="O436"/>
    </row>
    <row r="437">
      <c r="A437"/>
      <c r="B437"/>
      <c r="C437"/>
      <c r="D437"/>
      <c r="E437"/>
      <c r="F437"/>
      <c r="G437"/>
      <c r="H437"/>
      <c r="I437" t="inlineStr">
        <is>
          <t>No empezada</t>
        </is>
      </c>
      <c r="J437" t="inlineStr">
        <is>
          <t>Pendiente</t>
        </is>
      </c>
      <c r="K437"/>
      <c r="L437"/>
      <c r="M437"/>
      <c r="N437">
        <f>IF(AND(ISNUMBER(L437),ISNUMBER(M437)),L437*M437/100,"")</f>
      </c>
      <c r="O437"/>
    </row>
    <row r="438">
      <c r="A438"/>
      <c r="B438"/>
      <c r="C438"/>
      <c r="D438"/>
      <c r="E438"/>
      <c r="F438"/>
      <c r="G438"/>
      <c r="H438"/>
      <c r="I438" t="inlineStr">
        <is>
          <t>No empezada</t>
        </is>
      </c>
      <c r="J438" t="inlineStr">
        <is>
          <t>Pendiente</t>
        </is>
      </c>
      <c r="K438"/>
      <c r="L438"/>
      <c r="M438"/>
      <c r="N438">
        <f>IF(AND(ISNUMBER(L438),ISNUMBER(M438)),L438*M438/100,"")</f>
      </c>
      <c r="O438"/>
    </row>
    <row r="439">
      <c r="A439"/>
      <c r="B439"/>
      <c r="C439"/>
      <c r="D439"/>
      <c r="E439"/>
      <c r="F439"/>
      <c r="G439"/>
      <c r="H439"/>
      <c r="I439" t="inlineStr">
        <is>
          <t>No empezada</t>
        </is>
      </c>
      <c r="J439" t="inlineStr">
        <is>
          <t>Pendiente</t>
        </is>
      </c>
      <c r="K439"/>
      <c r="L439"/>
      <c r="M439"/>
      <c r="N439">
        <f>IF(AND(ISNUMBER(L439),ISNUMBER(M439)),L439*M439/100,"")</f>
      </c>
      <c r="O439"/>
    </row>
    <row r="440">
      <c r="A440"/>
      <c r="B440"/>
      <c r="C440"/>
      <c r="D440"/>
      <c r="E440"/>
      <c r="F440"/>
      <c r="G440"/>
      <c r="H440"/>
      <c r="I440" t="inlineStr">
        <is>
          <t>No empezada</t>
        </is>
      </c>
      <c r="J440" t="inlineStr">
        <is>
          <t>Pendiente</t>
        </is>
      </c>
      <c r="K440"/>
      <c r="L440"/>
      <c r="M440"/>
      <c r="N440">
        <f>IF(AND(ISNUMBER(L440),ISNUMBER(M440)),L440*M440/100,"")</f>
      </c>
      <c r="O440"/>
    </row>
    <row r="441">
      <c r="A441"/>
      <c r="B441"/>
      <c r="C441"/>
      <c r="D441"/>
      <c r="E441"/>
      <c r="F441"/>
      <c r="G441"/>
      <c r="H441"/>
      <c r="I441" t="inlineStr">
        <is>
          <t>No empezada</t>
        </is>
      </c>
      <c r="J441" t="inlineStr">
        <is>
          <t>Pendiente</t>
        </is>
      </c>
      <c r="K441"/>
      <c r="L441"/>
      <c r="M441"/>
      <c r="N441">
        <f>IF(AND(ISNUMBER(L441),ISNUMBER(M441)),L441*M441/100,"")</f>
      </c>
      <c r="O441"/>
    </row>
    <row r="442">
      <c r="A442"/>
      <c r="B442"/>
      <c r="C442"/>
      <c r="D442"/>
      <c r="E442"/>
      <c r="F442"/>
      <c r="G442"/>
      <c r="H442"/>
      <c r="I442" t="inlineStr">
        <is>
          <t>No empezada</t>
        </is>
      </c>
      <c r="J442" t="inlineStr">
        <is>
          <t>Pendiente</t>
        </is>
      </c>
      <c r="K442"/>
      <c r="L442"/>
      <c r="M442"/>
      <c r="N442">
        <f>IF(AND(ISNUMBER(L442),ISNUMBER(M442)),L442*M442/100,"")</f>
      </c>
      <c r="O442"/>
    </row>
    <row r="443">
      <c r="A443"/>
      <c r="B443"/>
      <c r="C443"/>
      <c r="D443"/>
      <c r="E443"/>
      <c r="F443"/>
      <c r="G443"/>
      <c r="H443"/>
      <c r="I443" t="inlineStr">
        <is>
          <t>No empezada</t>
        </is>
      </c>
      <c r="J443" t="inlineStr">
        <is>
          <t>Pendiente</t>
        </is>
      </c>
      <c r="K443"/>
      <c r="L443"/>
      <c r="M443"/>
      <c r="N443">
        <f>IF(AND(ISNUMBER(L443),ISNUMBER(M443)),L443*M443/100,"")</f>
      </c>
      <c r="O443"/>
    </row>
    <row r="444">
      <c r="A444"/>
      <c r="B444"/>
      <c r="C444"/>
      <c r="D444"/>
      <c r="E444"/>
      <c r="F444"/>
      <c r="G444"/>
      <c r="H444"/>
      <c r="I444" t="inlineStr">
        <is>
          <t>No empezada</t>
        </is>
      </c>
      <c r="J444" t="inlineStr">
        <is>
          <t>Pendiente</t>
        </is>
      </c>
      <c r="K444"/>
      <c r="L444"/>
      <c r="M444"/>
      <c r="N444">
        <f>IF(AND(ISNUMBER(L444),ISNUMBER(M444)),L444*M444/100,"")</f>
      </c>
      <c r="O444"/>
    </row>
    <row r="445">
      <c r="A445"/>
      <c r="B445"/>
      <c r="C445"/>
      <c r="D445"/>
      <c r="E445"/>
      <c r="F445"/>
      <c r="G445"/>
      <c r="H445"/>
      <c r="I445" t="inlineStr">
        <is>
          <t>No empezada</t>
        </is>
      </c>
      <c r="J445" t="inlineStr">
        <is>
          <t>Pendiente</t>
        </is>
      </c>
      <c r="K445"/>
      <c r="L445"/>
      <c r="M445"/>
      <c r="N445">
        <f>IF(AND(ISNUMBER(L445),ISNUMBER(M445)),L445*M445/100,"")</f>
      </c>
      <c r="O445"/>
    </row>
    <row r="446">
      <c r="A446"/>
      <c r="B446"/>
      <c r="C446"/>
      <c r="D446"/>
      <c r="E446"/>
      <c r="F446"/>
      <c r="G446"/>
      <c r="H446"/>
      <c r="I446" t="inlineStr">
        <is>
          <t>No empezada</t>
        </is>
      </c>
      <c r="J446" t="inlineStr">
        <is>
          <t>Pendiente</t>
        </is>
      </c>
      <c r="K446"/>
      <c r="L446"/>
      <c r="M446"/>
      <c r="N446">
        <f>IF(AND(ISNUMBER(L446),ISNUMBER(M446)),L446*M446/100,"")</f>
      </c>
      <c r="O446"/>
    </row>
    <row r="447">
      <c r="A447"/>
      <c r="B447"/>
      <c r="C447"/>
      <c r="D447"/>
      <c r="E447"/>
      <c r="F447"/>
      <c r="G447"/>
      <c r="H447"/>
      <c r="I447" t="inlineStr">
        <is>
          <t>No empezada</t>
        </is>
      </c>
      <c r="J447" t="inlineStr">
        <is>
          <t>Pendiente</t>
        </is>
      </c>
      <c r="K447"/>
      <c r="L447"/>
      <c r="M447"/>
      <c r="N447">
        <f>IF(AND(ISNUMBER(L447),ISNUMBER(M447)),L447*M447/100,"")</f>
      </c>
      <c r="O447"/>
    </row>
    <row r="448">
      <c r="A448"/>
      <c r="B448"/>
      <c r="C448"/>
      <c r="D448"/>
      <c r="E448"/>
      <c r="F448"/>
      <c r="G448"/>
      <c r="H448"/>
      <c r="I448" t="inlineStr">
        <is>
          <t>No empezada</t>
        </is>
      </c>
      <c r="J448" t="inlineStr">
        <is>
          <t>Pendiente</t>
        </is>
      </c>
      <c r="K448"/>
      <c r="L448"/>
      <c r="M448"/>
      <c r="N448">
        <f>IF(AND(ISNUMBER(L448),ISNUMBER(M448)),L448*M448/100,"")</f>
      </c>
      <c r="O448"/>
    </row>
    <row r="449">
      <c r="A449"/>
      <c r="B449"/>
      <c r="C449"/>
      <c r="D449"/>
      <c r="E449"/>
      <c r="F449"/>
      <c r="G449"/>
      <c r="H449"/>
      <c r="I449" t="inlineStr">
        <is>
          <t>No empezada</t>
        </is>
      </c>
      <c r="J449" t="inlineStr">
        <is>
          <t>Pendiente</t>
        </is>
      </c>
      <c r="K449"/>
      <c r="L449"/>
      <c r="M449"/>
      <c r="N449">
        <f>IF(AND(ISNUMBER(L449),ISNUMBER(M449)),L449*M449/100,"")</f>
      </c>
      <c r="O449"/>
    </row>
    <row r="450">
      <c r="A450"/>
      <c r="B450"/>
      <c r="C450"/>
      <c r="D450"/>
      <c r="E450"/>
      <c r="F450"/>
      <c r="G450"/>
      <c r="H450"/>
      <c r="I450" t="inlineStr">
        <is>
          <t>No empezada</t>
        </is>
      </c>
      <c r="J450" t="inlineStr">
        <is>
          <t>Pendiente</t>
        </is>
      </c>
      <c r="K450"/>
      <c r="L450"/>
      <c r="M450"/>
      <c r="N450">
        <f>IF(AND(ISNUMBER(L450),ISNUMBER(M450)),L450*M450/100,"")</f>
      </c>
      <c r="O450"/>
    </row>
    <row r="451">
      <c r="A451"/>
      <c r="B451"/>
      <c r="C451"/>
      <c r="D451"/>
      <c r="E451"/>
      <c r="F451"/>
      <c r="G451"/>
      <c r="H451"/>
      <c r="I451" t="inlineStr">
        <is>
          <t>No empezada</t>
        </is>
      </c>
      <c r="J451" t="inlineStr">
        <is>
          <t>Pendiente</t>
        </is>
      </c>
      <c r="K451"/>
      <c r="L451"/>
      <c r="M451"/>
      <c r="N451">
        <f>IF(AND(ISNUMBER(L451),ISNUMBER(M451)),L451*M451/100,"")</f>
      </c>
      <c r="O451"/>
    </row>
    <row r="452">
      <c r="A452"/>
      <c r="B452"/>
      <c r="C452"/>
      <c r="D452"/>
      <c r="E452"/>
      <c r="F452"/>
      <c r="G452"/>
      <c r="H452"/>
      <c r="I452" t="inlineStr">
        <is>
          <t>No empezada</t>
        </is>
      </c>
      <c r="J452" t="inlineStr">
        <is>
          <t>Pendiente</t>
        </is>
      </c>
      <c r="K452"/>
      <c r="L452"/>
      <c r="M452"/>
      <c r="N452">
        <f>IF(AND(ISNUMBER(L452),ISNUMBER(M452)),L452*M452/100,"")</f>
      </c>
      <c r="O452"/>
    </row>
    <row r="453">
      <c r="A453"/>
      <c r="B453"/>
      <c r="C453"/>
      <c r="D453"/>
      <c r="E453"/>
      <c r="F453"/>
      <c r="G453"/>
      <c r="H453"/>
      <c r="I453" t="inlineStr">
        <is>
          <t>No empezada</t>
        </is>
      </c>
      <c r="J453" t="inlineStr">
        <is>
          <t>Pendiente</t>
        </is>
      </c>
      <c r="K453"/>
      <c r="L453"/>
      <c r="M453"/>
      <c r="N453">
        <f>IF(AND(ISNUMBER(L453),ISNUMBER(M453)),L453*M453/100,"")</f>
      </c>
      <c r="O453"/>
    </row>
    <row r="454">
      <c r="A454"/>
      <c r="B454"/>
      <c r="C454"/>
      <c r="D454"/>
      <c r="E454"/>
      <c r="F454"/>
      <c r="G454"/>
      <c r="H454"/>
      <c r="I454" t="inlineStr">
        <is>
          <t>No empezada</t>
        </is>
      </c>
      <c r="J454" t="inlineStr">
        <is>
          <t>Pendiente</t>
        </is>
      </c>
      <c r="K454"/>
      <c r="L454"/>
      <c r="M454"/>
      <c r="N454">
        <f>IF(AND(ISNUMBER(L454),ISNUMBER(M454)),L454*M454/100,"")</f>
      </c>
      <c r="O454"/>
    </row>
    <row r="455">
      <c r="A455"/>
      <c r="B455"/>
      <c r="C455"/>
      <c r="D455"/>
      <c r="E455"/>
      <c r="F455"/>
      <c r="G455"/>
      <c r="H455"/>
      <c r="I455" t="inlineStr">
        <is>
          <t>No empezada</t>
        </is>
      </c>
      <c r="J455" t="inlineStr">
        <is>
          <t>Pendiente</t>
        </is>
      </c>
      <c r="K455"/>
      <c r="L455"/>
      <c r="M455"/>
      <c r="N455">
        <f>IF(AND(ISNUMBER(L455),ISNUMBER(M455)),L455*M455/100,"")</f>
      </c>
      <c r="O455"/>
    </row>
    <row r="456">
      <c r="A456"/>
      <c r="B456"/>
      <c r="C456"/>
      <c r="D456"/>
      <c r="E456"/>
      <c r="F456"/>
      <c r="G456"/>
      <c r="H456"/>
      <c r="I456" t="inlineStr">
        <is>
          <t>No empezada</t>
        </is>
      </c>
      <c r="J456" t="inlineStr">
        <is>
          <t>Pendiente</t>
        </is>
      </c>
      <c r="K456"/>
      <c r="L456"/>
      <c r="M456"/>
      <c r="N456">
        <f>IF(AND(ISNUMBER(L456),ISNUMBER(M456)),L456*M456/100,"")</f>
      </c>
      <c r="O456"/>
    </row>
    <row r="457">
      <c r="A457"/>
      <c r="B457"/>
      <c r="C457"/>
      <c r="D457"/>
      <c r="E457"/>
      <c r="F457"/>
      <c r="G457"/>
      <c r="H457"/>
      <c r="I457" t="inlineStr">
        <is>
          <t>No empezada</t>
        </is>
      </c>
      <c r="J457" t="inlineStr">
        <is>
          <t>Pendiente</t>
        </is>
      </c>
      <c r="K457"/>
      <c r="L457"/>
      <c r="M457"/>
      <c r="N457">
        <f>IF(AND(ISNUMBER(L457),ISNUMBER(M457)),L457*M457/100,"")</f>
      </c>
      <c r="O457"/>
    </row>
    <row r="458">
      <c r="A458"/>
      <c r="B458"/>
      <c r="C458"/>
      <c r="D458"/>
      <c r="E458"/>
      <c r="F458"/>
      <c r="G458"/>
      <c r="H458"/>
      <c r="I458" t="inlineStr">
        <is>
          <t>No empezada</t>
        </is>
      </c>
      <c r="J458" t="inlineStr">
        <is>
          <t>Pendiente</t>
        </is>
      </c>
      <c r="K458"/>
      <c r="L458"/>
      <c r="M458"/>
      <c r="N458">
        <f>IF(AND(ISNUMBER(L458),ISNUMBER(M458)),L458*M458/100,"")</f>
      </c>
      <c r="O458"/>
    </row>
    <row r="459">
      <c r="A459"/>
      <c r="B459"/>
      <c r="C459"/>
      <c r="D459"/>
      <c r="E459"/>
      <c r="F459"/>
      <c r="G459"/>
      <c r="H459"/>
      <c r="I459" t="inlineStr">
        <is>
          <t>No empezada</t>
        </is>
      </c>
      <c r="J459" t="inlineStr">
        <is>
          <t>Pendiente</t>
        </is>
      </c>
      <c r="K459"/>
      <c r="L459"/>
      <c r="M459"/>
      <c r="N459">
        <f>IF(AND(ISNUMBER(L459),ISNUMBER(M459)),L459*M459/100,"")</f>
      </c>
      <c r="O459"/>
    </row>
    <row r="460">
      <c r="A460"/>
      <c r="B460"/>
      <c r="C460"/>
      <c r="D460"/>
      <c r="E460"/>
      <c r="F460"/>
      <c r="G460"/>
      <c r="H460"/>
      <c r="I460" t="inlineStr">
        <is>
          <t>No empezada</t>
        </is>
      </c>
      <c r="J460" t="inlineStr">
        <is>
          <t>Pendiente</t>
        </is>
      </c>
      <c r="K460"/>
      <c r="L460"/>
      <c r="M460"/>
      <c r="N460">
        <f>IF(AND(ISNUMBER(L460),ISNUMBER(M460)),L460*M460/100,"")</f>
      </c>
      <c r="O460"/>
    </row>
    <row r="461">
      <c r="A461"/>
      <c r="B461"/>
      <c r="C461"/>
      <c r="D461"/>
      <c r="E461"/>
      <c r="F461"/>
      <c r="G461"/>
      <c r="H461"/>
      <c r="I461" t="inlineStr">
        <is>
          <t>No empezada</t>
        </is>
      </c>
      <c r="J461" t="inlineStr">
        <is>
          <t>Pendiente</t>
        </is>
      </c>
      <c r="K461"/>
      <c r="L461"/>
      <c r="M461"/>
      <c r="N461">
        <f>IF(AND(ISNUMBER(L461),ISNUMBER(M461)),L461*M461/100,"")</f>
      </c>
      <c r="O461"/>
    </row>
    <row r="462">
      <c r="A462"/>
      <c r="B462"/>
      <c r="C462"/>
      <c r="D462"/>
      <c r="E462"/>
      <c r="F462"/>
      <c r="G462"/>
      <c r="H462"/>
      <c r="I462" t="inlineStr">
        <is>
          <t>No empezada</t>
        </is>
      </c>
      <c r="J462" t="inlineStr">
        <is>
          <t>Pendiente</t>
        </is>
      </c>
      <c r="K462"/>
      <c r="L462"/>
      <c r="M462"/>
      <c r="N462">
        <f>IF(AND(ISNUMBER(L462),ISNUMBER(M462)),L462*M462/100,"")</f>
      </c>
      <c r="O462"/>
    </row>
    <row r="463">
      <c r="A463"/>
      <c r="B463"/>
      <c r="C463"/>
      <c r="D463"/>
      <c r="E463"/>
      <c r="F463"/>
      <c r="G463"/>
      <c r="H463"/>
      <c r="I463" t="inlineStr">
        <is>
          <t>No empezada</t>
        </is>
      </c>
      <c r="J463" t="inlineStr">
        <is>
          <t>Pendiente</t>
        </is>
      </c>
      <c r="K463"/>
      <c r="L463"/>
      <c r="M463"/>
      <c r="N463">
        <f>IF(AND(ISNUMBER(L463),ISNUMBER(M463)),L463*M463/100,"")</f>
      </c>
      <c r="O463"/>
    </row>
    <row r="464">
      <c r="A464"/>
      <c r="B464"/>
      <c r="C464"/>
      <c r="D464"/>
      <c r="E464"/>
      <c r="F464"/>
      <c r="G464"/>
      <c r="H464"/>
      <c r="I464" t="inlineStr">
        <is>
          <t>No empezada</t>
        </is>
      </c>
      <c r="J464" t="inlineStr">
        <is>
          <t>Pendiente</t>
        </is>
      </c>
      <c r="K464"/>
      <c r="L464"/>
      <c r="M464"/>
      <c r="N464">
        <f>IF(AND(ISNUMBER(L464),ISNUMBER(M464)),L464*M464/100,"")</f>
      </c>
      <c r="O464"/>
    </row>
    <row r="465">
      <c r="A465"/>
      <c r="B465"/>
      <c r="C465"/>
      <c r="D465"/>
      <c r="E465"/>
      <c r="F465"/>
      <c r="G465"/>
      <c r="H465"/>
      <c r="I465" t="inlineStr">
        <is>
          <t>No empezada</t>
        </is>
      </c>
      <c r="J465" t="inlineStr">
        <is>
          <t>Pendiente</t>
        </is>
      </c>
      <c r="K465"/>
      <c r="L465"/>
      <c r="M465"/>
      <c r="N465">
        <f>IF(AND(ISNUMBER(L465),ISNUMBER(M465)),L465*M465/100,"")</f>
      </c>
      <c r="O465"/>
    </row>
    <row r="466">
      <c r="A466"/>
      <c r="B466"/>
      <c r="C466"/>
      <c r="D466"/>
      <c r="E466"/>
      <c r="F466"/>
      <c r="G466"/>
      <c r="H466"/>
      <c r="I466" t="inlineStr">
        <is>
          <t>No empezada</t>
        </is>
      </c>
      <c r="J466" t="inlineStr">
        <is>
          <t>Pendiente</t>
        </is>
      </c>
      <c r="K466"/>
      <c r="L466"/>
      <c r="M466"/>
      <c r="N466">
        <f>IF(AND(ISNUMBER(L466),ISNUMBER(M466)),L466*M466/100,"")</f>
      </c>
      <c r="O466"/>
    </row>
    <row r="467">
      <c r="A467"/>
      <c r="B467"/>
      <c r="C467"/>
      <c r="D467"/>
      <c r="E467"/>
      <c r="F467"/>
      <c r="G467"/>
      <c r="H467"/>
      <c r="I467" t="inlineStr">
        <is>
          <t>No empezada</t>
        </is>
      </c>
      <c r="J467" t="inlineStr">
        <is>
          <t>Pendiente</t>
        </is>
      </c>
      <c r="K467"/>
      <c r="L467"/>
      <c r="M467"/>
      <c r="N467">
        <f>IF(AND(ISNUMBER(L467),ISNUMBER(M467)),L467*M467/100,"")</f>
      </c>
      <c r="O467"/>
    </row>
    <row r="468">
      <c r="A468"/>
      <c r="B468"/>
      <c r="C468"/>
      <c r="D468"/>
      <c r="E468"/>
      <c r="F468"/>
      <c r="G468"/>
      <c r="H468"/>
      <c r="I468" t="inlineStr">
        <is>
          <t>No empezada</t>
        </is>
      </c>
      <c r="J468" t="inlineStr">
        <is>
          <t>Pendiente</t>
        </is>
      </c>
      <c r="K468"/>
      <c r="L468"/>
      <c r="M468"/>
      <c r="N468">
        <f>IF(AND(ISNUMBER(L468),ISNUMBER(M468)),L468*M468/100,"")</f>
      </c>
      <c r="O468"/>
    </row>
    <row r="469">
      <c r="A469"/>
      <c r="B469"/>
      <c r="C469"/>
      <c r="D469"/>
      <c r="E469"/>
      <c r="F469"/>
      <c r="G469"/>
      <c r="H469"/>
      <c r="I469" t="inlineStr">
        <is>
          <t>No empezada</t>
        </is>
      </c>
      <c r="J469" t="inlineStr">
        <is>
          <t>Pendiente</t>
        </is>
      </c>
      <c r="K469"/>
      <c r="L469"/>
      <c r="M469"/>
      <c r="N469">
        <f>IF(AND(ISNUMBER(L469),ISNUMBER(M469)),L469*M469/100,"")</f>
      </c>
      <c r="O469"/>
    </row>
    <row r="470">
      <c r="A470"/>
      <c r="B470"/>
      <c r="C470"/>
      <c r="D470"/>
      <c r="E470"/>
      <c r="F470"/>
      <c r="G470"/>
      <c r="H470"/>
      <c r="I470" t="inlineStr">
        <is>
          <t>No empezada</t>
        </is>
      </c>
      <c r="J470" t="inlineStr">
        <is>
          <t>Pendiente</t>
        </is>
      </c>
      <c r="K470"/>
      <c r="L470"/>
      <c r="M470"/>
      <c r="N470">
        <f>IF(AND(ISNUMBER(L470),ISNUMBER(M470)),L470*M470/100,"")</f>
      </c>
      <c r="O470"/>
    </row>
    <row r="471">
      <c r="A471"/>
      <c r="B471"/>
      <c r="C471"/>
      <c r="D471"/>
      <c r="E471"/>
      <c r="F471"/>
      <c r="G471"/>
      <c r="H471"/>
      <c r="I471" t="inlineStr">
        <is>
          <t>No empezada</t>
        </is>
      </c>
      <c r="J471" t="inlineStr">
        <is>
          <t>Pendiente</t>
        </is>
      </c>
      <c r="K471"/>
      <c r="L471"/>
      <c r="M471"/>
      <c r="N471">
        <f>IF(AND(ISNUMBER(L471),ISNUMBER(M471)),L471*M471/100,"")</f>
      </c>
      <c r="O471"/>
    </row>
    <row r="472">
      <c r="A472"/>
      <c r="B472"/>
      <c r="C472"/>
      <c r="D472"/>
      <c r="E472"/>
      <c r="F472"/>
      <c r="G472"/>
      <c r="H472"/>
      <c r="I472" t="inlineStr">
        <is>
          <t>No empezada</t>
        </is>
      </c>
      <c r="J472" t="inlineStr">
        <is>
          <t>Pendiente</t>
        </is>
      </c>
      <c r="K472"/>
      <c r="L472"/>
      <c r="M472"/>
      <c r="N472">
        <f>IF(AND(ISNUMBER(L472),ISNUMBER(M472)),L472*M472/100,"")</f>
      </c>
      <c r="O472"/>
    </row>
    <row r="473">
      <c r="A473"/>
      <c r="B473"/>
      <c r="C473"/>
      <c r="D473"/>
      <c r="E473"/>
      <c r="F473"/>
      <c r="G473"/>
      <c r="H473"/>
      <c r="I473" t="inlineStr">
        <is>
          <t>No empezada</t>
        </is>
      </c>
      <c r="J473" t="inlineStr">
        <is>
          <t>Pendiente</t>
        </is>
      </c>
      <c r="K473"/>
      <c r="L473"/>
      <c r="M473"/>
      <c r="N473">
        <f>IF(AND(ISNUMBER(L473),ISNUMBER(M473)),L473*M473/100,"")</f>
      </c>
      <c r="O473"/>
    </row>
    <row r="474">
      <c r="A474"/>
      <c r="B474"/>
      <c r="C474"/>
      <c r="D474"/>
      <c r="E474"/>
      <c r="F474"/>
      <c r="G474"/>
      <c r="H474"/>
      <c r="I474" t="inlineStr">
        <is>
          <t>No empezada</t>
        </is>
      </c>
      <c r="J474" t="inlineStr">
        <is>
          <t>Pendiente</t>
        </is>
      </c>
      <c r="K474"/>
      <c r="L474"/>
      <c r="M474"/>
      <c r="N474">
        <f>IF(AND(ISNUMBER(L474),ISNUMBER(M474)),L474*M474/100,"")</f>
      </c>
      <c r="O474"/>
    </row>
    <row r="475">
      <c r="A475"/>
      <c r="B475"/>
      <c r="C475"/>
      <c r="D475"/>
      <c r="E475"/>
      <c r="F475"/>
      <c r="G475"/>
      <c r="H475"/>
      <c r="I475" t="inlineStr">
        <is>
          <t>No empezada</t>
        </is>
      </c>
      <c r="J475" t="inlineStr">
        <is>
          <t>Pendiente</t>
        </is>
      </c>
      <c r="K475"/>
      <c r="L475"/>
      <c r="M475"/>
      <c r="N475">
        <f>IF(AND(ISNUMBER(L475),ISNUMBER(M475)),L475*M475/100,"")</f>
      </c>
      <c r="O475"/>
    </row>
    <row r="476">
      <c r="A476"/>
      <c r="B476"/>
      <c r="C476"/>
      <c r="D476"/>
      <c r="E476"/>
      <c r="F476"/>
      <c r="G476"/>
      <c r="H476"/>
      <c r="I476" t="inlineStr">
        <is>
          <t>No empezada</t>
        </is>
      </c>
      <c r="J476" t="inlineStr">
        <is>
          <t>Pendiente</t>
        </is>
      </c>
      <c r="K476"/>
      <c r="L476"/>
      <c r="M476"/>
      <c r="N476">
        <f>IF(AND(ISNUMBER(L476),ISNUMBER(M476)),L476*M476/100,"")</f>
      </c>
      <c r="O476"/>
    </row>
    <row r="477">
      <c r="A477"/>
      <c r="B477"/>
      <c r="C477"/>
      <c r="D477"/>
      <c r="E477"/>
      <c r="F477"/>
      <c r="G477"/>
      <c r="H477"/>
      <c r="I477" t="inlineStr">
        <is>
          <t>No empezada</t>
        </is>
      </c>
      <c r="J477" t="inlineStr">
        <is>
          <t>Pendiente</t>
        </is>
      </c>
      <c r="K477"/>
      <c r="L477"/>
      <c r="M477"/>
      <c r="N477">
        <f>IF(AND(ISNUMBER(L477),ISNUMBER(M477)),L477*M477/100,"")</f>
      </c>
      <c r="O477"/>
    </row>
    <row r="478">
      <c r="A478"/>
      <c r="B478"/>
      <c r="C478"/>
      <c r="D478"/>
      <c r="E478"/>
      <c r="F478"/>
      <c r="G478"/>
      <c r="H478"/>
      <c r="I478" t="inlineStr">
        <is>
          <t>No empezada</t>
        </is>
      </c>
      <c r="J478" t="inlineStr">
        <is>
          <t>Pendiente</t>
        </is>
      </c>
      <c r="K478"/>
      <c r="L478"/>
      <c r="M478"/>
      <c r="N478">
        <f>IF(AND(ISNUMBER(L478),ISNUMBER(M478)),L478*M478/100,"")</f>
      </c>
      <c r="O478"/>
    </row>
    <row r="479">
      <c r="A479"/>
      <c r="B479"/>
      <c r="C479"/>
      <c r="D479"/>
      <c r="E479"/>
      <c r="F479"/>
      <c r="G479"/>
      <c r="H479"/>
      <c r="I479" t="inlineStr">
        <is>
          <t>No empezada</t>
        </is>
      </c>
      <c r="J479" t="inlineStr">
        <is>
          <t>Pendiente</t>
        </is>
      </c>
      <c r="K479"/>
      <c r="L479"/>
      <c r="M479"/>
      <c r="N479">
        <f>IF(AND(ISNUMBER(L479),ISNUMBER(M479)),L479*M479/100,"")</f>
      </c>
      <c r="O479"/>
    </row>
    <row r="480">
      <c r="A480"/>
      <c r="B480"/>
      <c r="C480"/>
      <c r="D480"/>
      <c r="E480"/>
      <c r="F480"/>
      <c r="G480"/>
      <c r="H480"/>
      <c r="I480" t="inlineStr">
        <is>
          <t>No empezada</t>
        </is>
      </c>
      <c r="J480" t="inlineStr">
        <is>
          <t>Pendiente</t>
        </is>
      </c>
      <c r="K480"/>
      <c r="L480"/>
      <c r="M480"/>
      <c r="N480">
        <f>IF(AND(ISNUMBER(L480),ISNUMBER(M480)),L480*M480/100,"")</f>
      </c>
      <c r="O480"/>
    </row>
    <row r="481">
      <c r="A481"/>
      <c r="B481"/>
      <c r="C481"/>
      <c r="D481"/>
      <c r="E481"/>
      <c r="F481"/>
      <c r="G481"/>
      <c r="H481"/>
      <c r="I481" t="inlineStr">
        <is>
          <t>No empezada</t>
        </is>
      </c>
      <c r="J481" t="inlineStr">
        <is>
          <t>Pendiente</t>
        </is>
      </c>
      <c r="K481"/>
      <c r="L481"/>
      <c r="M481"/>
      <c r="N481">
        <f>IF(AND(ISNUMBER(L481),ISNUMBER(M481)),L481*M481/100,"")</f>
      </c>
      <c r="O481"/>
    </row>
    <row r="482">
      <c r="A482"/>
      <c r="B482"/>
      <c r="C482"/>
      <c r="D482"/>
      <c r="E482"/>
      <c r="F482"/>
      <c r="G482"/>
      <c r="H482"/>
      <c r="I482" t="inlineStr">
        <is>
          <t>No empezada</t>
        </is>
      </c>
      <c r="J482" t="inlineStr">
        <is>
          <t>Pendiente</t>
        </is>
      </c>
      <c r="K482"/>
      <c r="L482"/>
      <c r="M482"/>
      <c r="N482">
        <f>IF(AND(ISNUMBER(L482),ISNUMBER(M482)),L482*M482/100,"")</f>
      </c>
      <c r="O482"/>
    </row>
    <row r="483">
      <c r="A483"/>
      <c r="B483"/>
      <c r="C483"/>
      <c r="D483"/>
      <c r="E483"/>
      <c r="F483"/>
      <c r="G483"/>
      <c r="H483"/>
      <c r="I483" t="inlineStr">
        <is>
          <t>No empezada</t>
        </is>
      </c>
      <c r="J483" t="inlineStr">
        <is>
          <t>Pendiente</t>
        </is>
      </c>
      <c r="K483"/>
      <c r="L483"/>
      <c r="M483"/>
      <c r="N483">
        <f>IF(AND(ISNUMBER(L483),ISNUMBER(M483)),L483*M483/100,"")</f>
      </c>
      <c r="O483"/>
    </row>
    <row r="484">
      <c r="A484"/>
      <c r="B484"/>
      <c r="C484"/>
      <c r="D484"/>
      <c r="E484"/>
      <c r="F484"/>
      <c r="G484"/>
      <c r="H484"/>
      <c r="I484" t="inlineStr">
        <is>
          <t>No empezada</t>
        </is>
      </c>
      <c r="J484" t="inlineStr">
        <is>
          <t>Pendiente</t>
        </is>
      </c>
      <c r="K484"/>
      <c r="L484"/>
      <c r="M484"/>
      <c r="N484">
        <f>IF(AND(ISNUMBER(L484),ISNUMBER(M484)),L484*M484/100,"")</f>
      </c>
      <c r="O484"/>
    </row>
    <row r="485">
      <c r="A485"/>
      <c r="B485"/>
      <c r="C485"/>
      <c r="D485"/>
      <c r="E485"/>
      <c r="F485"/>
      <c r="G485"/>
      <c r="H485"/>
      <c r="I485" t="inlineStr">
        <is>
          <t>No empezada</t>
        </is>
      </c>
      <c r="J485" t="inlineStr">
        <is>
          <t>Pendiente</t>
        </is>
      </c>
      <c r="K485"/>
      <c r="L485"/>
      <c r="M485"/>
      <c r="N485">
        <f>IF(AND(ISNUMBER(L485),ISNUMBER(M485)),L485*M485/100,"")</f>
      </c>
      <c r="O485"/>
    </row>
    <row r="486">
      <c r="A486"/>
      <c r="B486"/>
      <c r="C486"/>
      <c r="D486"/>
      <c r="E486"/>
      <c r="F486"/>
      <c r="G486"/>
      <c r="H486"/>
      <c r="I486" t="inlineStr">
        <is>
          <t>No empezada</t>
        </is>
      </c>
      <c r="J486" t="inlineStr">
        <is>
          <t>Pendiente</t>
        </is>
      </c>
      <c r="K486"/>
      <c r="L486"/>
      <c r="M486"/>
      <c r="N486">
        <f>IF(AND(ISNUMBER(L486),ISNUMBER(M486)),L486*M486/100,"")</f>
      </c>
      <c r="O486"/>
    </row>
    <row r="487">
      <c r="A487"/>
      <c r="B487"/>
      <c r="C487"/>
      <c r="D487"/>
      <c r="E487"/>
      <c r="F487"/>
      <c r="G487"/>
      <c r="H487"/>
      <c r="I487" t="inlineStr">
        <is>
          <t>No empezada</t>
        </is>
      </c>
      <c r="J487" t="inlineStr">
        <is>
          <t>Pendiente</t>
        </is>
      </c>
      <c r="K487"/>
      <c r="L487"/>
      <c r="M487"/>
      <c r="N487">
        <f>IF(AND(ISNUMBER(L487),ISNUMBER(M487)),L487*M487/100,"")</f>
      </c>
      <c r="O487"/>
    </row>
    <row r="488">
      <c r="A488"/>
      <c r="B488"/>
      <c r="C488"/>
      <c r="D488"/>
      <c r="E488"/>
      <c r="F488"/>
      <c r="G488"/>
      <c r="H488"/>
      <c r="I488" t="inlineStr">
        <is>
          <t>No empezada</t>
        </is>
      </c>
      <c r="J488" t="inlineStr">
        <is>
          <t>Pendiente</t>
        </is>
      </c>
      <c r="K488"/>
      <c r="L488"/>
      <c r="M488"/>
      <c r="N488">
        <f>IF(AND(ISNUMBER(L488),ISNUMBER(M488)),L488*M488/100,"")</f>
      </c>
      <c r="O488"/>
    </row>
    <row r="489">
      <c r="A489"/>
      <c r="B489"/>
      <c r="C489"/>
      <c r="D489"/>
      <c r="E489"/>
      <c r="F489"/>
      <c r="G489"/>
      <c r="H489"/>
      <c r="I489" t="inlineStr">
        <is>
          <t>No empezada</t>
        </is>
      </c>
      <c r="J489" t="inlineStr">
        <is>
          <t>Pendiente</t>
        </is>
      </c>
      <c r="K489"/>
      <c r="L489"/>
      <c r="M489"/>
      <c r="N489">
        <f>IF(AND(ISNUMBER(L489),ISNUMBER(M489)),L489*M489/100,"")</f>
      </c>
      <c r="O489"/>
    </row>
    <row r="490">
      <c r="A490"/>
      <c r="B490"/>
      <c r="C490"/>
      <c r="D490"/>
      <c r="E490"/>
      <c r="F490"/>
      <c r="G490"/>
      <c r="H490"/>
      <c r="I490" t="inlineStr">
        <is>
          <t>No empezada</t>
        </is>
      </c>
      <c r="J490" t="inlineStr">
        <is>
          <t>Pendiente</t>
        </is>
      </c>
      <c r="K490"/>
      <c r="L490"/>
      <c r="M490"/>
      <c r="N490">
        <f>IF(AND(ISNUMBER(L490),ISNUMBER(M490)),L490*M490/100,"")</f>
      </c>
      <c r="O490"/>
    </row>
    <row r="491">
      <c r="A491"/>
      <c r="B491"/>
      <c r="C491"/>
      <c r="D491"/>
      <c r="E491"/>
      <c r="F491"/>
      <c r="G491"/>
      <c r="H491"/>
      <c r="I491" t="inlineStr">
        <is>
          <t>No empezada</t>
        </is>
      </c>
      <c r="J491" t="inlineStr">
        <is>
          <t>Pendiente</t>
        </is>
      </c>
      <c r="K491"/>
      <c r="L491"/>
      <c r="M491"/>
      <c r="N491">
        <f>IF(AND(ISNUMBER(L491),ISNUMBER(M491)),L491*M491/100,"")</f>
      </c>
      <c r="O491"/>
    </row>
    <row r="492">
      <c r="A492"/>
      <c r="B492"/>
      <c r="C492"/>
      <c r="D492"/>
      <c r="E492"/>
      <c r="F492"/>
      <c r="G492"/>
      <c r="H492"/>
      <c r="I492" t="inlineStr">
        <is>
          <t>No empezada</t>
        </is>
      </c>
      <c r="J492" t="inlineStr">
        <is>
          <t>Pendiente</t>
        </is>
      </c>
      <c r="K492"/>
      <c r="L492"/>
      <c r="M492"/>
      <c r="N492">
        <f>IF(AND(ISNUMBER(L492),ISNUMBER(M492)),L492*M492/100,"")</f>
      </c>
      <c r="O492"/>
    </row>
    <row r="493">
      <c r="A493"/>
      <c r="B493"/>
      <c r="C493"/>
      <c r="D493"/>
      <c r="E493"/>
      <c r="F493"/>
      <c r="G493"/>
      <c r="H493"/>
      <c r="I493" t="inlineStr">
        <is>
          <t>No empezada</t>
        </is>
      </c>
      <c r="J493" t="inlineStr">
        <is>
          <t>Pendiente</t>
        </is>
      </c>
      <c r="K493"/>
      <c r="L493"/>
      <c r="M493"/>
      <c r="N493">
        <f>IF(AND(ISNUMBER(L493),ISNUMBER(M493)),L493*M493/100,"")</f>
      </c>
      <c r="O493"/>
    </row>
    <row r="494">
      <c r="A494"/>
      <c r="B494"/>
      <c r="C494"/>
      <c r="D494"/>
      <c r="E494"/>
      <c r="F494"/>
      <c r="G494"/>
      <c r="H494"/>
      <c r="I494" t="inlineStr">
        <is>
          <t>No empezada</t>
        </is>
      </c>
      <c r="J494" t="inlineStr">
        <is>
          <t>Pendiente</t>
        </is>
      </c>
      <c r="K494"/>
      <c r="L494"/>
      <c r="M494"/>
      <c r="N494">
        <f>IF(AND(ISNUMBER(L494),ISNUMBER(M494)),L494*M494/100,"")</f>
      </c>
      <c r="O494"/>
    </row>
    <row r="495">
      <c r="A495"/>
      <c r="B495"/>
      <c r="C495"/>
      <c r="D495"/>
      <c r="E495"/>
      <c r="F495"/>
      <c r="G495"/>
      <c r="H495"/>
      <c r="I495" t="inlineStr">
        <is>
          <t>No empezada</t>
        </is>
      </c>
      <c r="J495" t="inlineStr">
        <is>
          <t>Pendiente</t>
        </is>
      </c>
      <c r="K495"/>
      <c r="L495"/>
      <c r="M495"/>
      <c r="N495">
        <f>IF(AND(ISNUMBER(L495),ISNUMBER(M495)),L495*M495/100,"")</f>
      </c>
      <c r="O495"/>
    </row>
    <row r="496">
      <c r="A496"/>
      <c r="B496"/>
      <c r="C496"/>
      <c r="D496"/>
      <c r="E496"/>
      <c r="F496"/>
      <c r="G496"/>
      <c r="H496"/>
      <c r="I496" t="inlineStr">
        <is>
          <t>No empezada</t>
        </is>
      </c>
      <c r="J496" t="inlineStr">
        <is>
          <t>Pendiente</t>
        </is>
      </c>
      <c r="K496"/>
      <c r="L496"/>
      <c r="M496"/>
      <c r="N496">
        <f>IF(AND(ISNUMBER(L496),ISNUMBER(M496)),L496*M496/100,"")</f>
      </c>
      <c r="O496"/>
    </row>
    <row r="497">
      <c r="A497"/>
      <c r="B497"/>
      <c r="C497"/>
      <c r="D497"/>
      <c r="E497"/>
      <c r="F497"/>
      <c r="G497"/>
      <c r="H497"/>
      <c r="I497" t="inlineStr">
        <is>
          <t>No empezada</t>
        </is>
      </c>
      <c r="J497" t="inlineStr">
        <is>
          <t>Pendiente</t>
        </is>
      </c>
      <c r="K497"/>
      <c r="L497"/>
      <c r="M497"/>
      <c r="N497">
        <f>IF(AND(ISNUMBER(L497),ISNUMBER(M497)),L497*M497/100,"")</f>
      </c>
      <c r="O497"/>
    </row>
    <row r="498">
      <c r="A498"/>
      <c r="B498"/>
      <c r="C498"/>
      <c r="D498"/>
      <c r="E498"/>
      <c r="F498"/>
      <c r="G498"/>
      <c r="H498"/>
      <c r="I498" t="inlineStr">
        <is>
          <t>No empezada</t>
        </is>
      </c>
      <c r="J498" t="inlineStr">
        <is>
          <t>Pendiente</t>
        </is>
      </c>
      <c r="K498"/>
      <c r="L498"/>
      <c r="M498"/>
      <c r="N498">
        <f>IF(AND(ISNUMBER(L498),ISNUMBER(M498)),L498*M498/100,"")</f>
      </c>
      <c r="O498"/>
    </row>
    <row r="499">
      <c r="A499"/>
      <c r="B499"/>
      <c r="C499"/>
      <c r="D499"/>
      <c r="E499"/>
      <c r="F499"/>
      <c r="G499"/>
      <c r="H499"/>
      <c r="I499" t="inlineStr">
        <is>
          <t>No empezada</t>
        </is>
      </c>
      <c r="J499" t="inlineStr">
        <is>
          <t>Pendiente</t>
        </is>
      </c>
      <c r="K499"/>
      <c r="L499"/>
      <c r="M499"/>
      <c r="N499">
        <f>IF(AND(ISNUMBER(L499),ISNUMBER(M499)),L499*M499/100,"")</f>
      </c>
      <c r="O499"/>
    </row>
    <row r="500">
      <c r="A500"/>
      <c r="B500"/>
      <c r="C500"/>
      <c r="D500"/>
      <c r="E500"/>
      <c r="F500"/>
      <c r="G500"/>
      <c r="H500"/>
      <c r="I500" t="inlineStr">
        <is>
          <t>No empezada</t>
        </is>
      </c>
      <c r="J500" t="inlineStr">
        <is>
          <t>Pendiente</t>
        </is>
      </c>
      <c r="K500"/>
      <c r="L500"/>
      <c r="M500"/>
      <c r="N500">
        <f>IF(AND(ISNUMBER(L500),ISNUMBER(M500)),L500*M500/100,"")</f>
      </c>
      <c r="O500"/>
    </row>
    <row r="501">
      <c r="A501"/>
      <c r="B501"/>
      <c r="C501"/>
      <c r="D501"/>
      <c r="E501"/>
      <c r="F501"/>
      <c r="G501"/>
      <c r="H501"/>
      <c r="I501" t="inlineStr">
        <is>
          <t>No empezada</t>
        </is>
      </c>
      <c r="J501" t="inlineStr">
        <is>
          <t>Pendiente</t>
        </is>
      </c>
      <c r="K501"/>
      <c r="L501"/>
      <c r="M501"/>
      <c r="N501">
        <f>IF(AND(ISNUMBER(L501),ISNUMBER(M501)),L501*M501/100,"")</f>
      </c>
      <c r="O501"/>
    </row>
  </sheetData>
  <autoFilter ref="A1:O501"/>
  <dataValidations count="2">
    <dataValidation type="list" allowBlank="1" showErrorMessage="1" sqref="I2:I800">
      <formula1>"No empezada,En curso,Entregada,No entregada"</formula1>
    </dataValidation>
    <dataValidation type="list" allowBlank="1" showErrorMessage="1" sqref="J2:J800">
      <formula1>"Pendiente,En corrección,Corregida,Devuelta"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dimension ref="A1:I8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8" customWidth="1"/>
    <col min="4" max="4" width="10" customWidth="1"/>
    <col min="5" max="5" width="60" customWidth="1"/>
    <col min="6" max="6" width="14" customWidth="1"/>
    <col min="7" max="7" width="18" customWidth="1"/>
    <col min="8" max="8" width="12" customWidth="1"/>
    <col min="9" max="9" width="22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RA</t>
        </is>
      </c>
      <c r="D1" t="inlineStr" s="1">
        <is>
          <t>CE</t>
        </is>
      </c>
      <c r="E1" t="inlineStr" s="1">
        <is>
          <t>Descripción CE</t>
        </is>
      </c>
      <c r="F1" t="inlineStr" s="1">
        <is>
          <t>Media CE</t>
        </is>
      </c>
      <c r="G1" t="inlineStr" s="1">
        <is>
          <t>Nota ponderada CE</t>
        </is>
      </c>
      <c r="H1" t="inlineStr" s="1">
        <is>
          <t>Evidencias</t>
        </is>
      </c>
      <c r="I1" t="inlineStr" s="1">
        <is>
          <t>Pendientes corrección</t>
        </is>
      </c>
    </row>
    <row r="2">
      <c r="A2"/>
      <c r="B2"/>
      <c r="C2" t="inlineStr">
        <is>
          <t>RA1</t>
        </is>
      </c>
      <c r="D2" t="inlineStr">
        <is>
          <t>RA1.a</t>
        </is>
      </c>
      <c r="E2" t="inlineStr">
        <is>
          <t>Identifica la estructura de un programa informático.</t>
        </is>
      </c>
      <c r="F2">
        <f>IF(A2="","",IFERROR(AVERAGEIFS(Registro_CE!$L:$L,Registro_CE!$A:$A,A2,Registro_CE!$F:$F,D2),""))</f>
      </c>
      <c r="G2">
        <f>IF(A2="","",IFERROR(SUMIFS(Registro_CE!$N:$N,Registro_CE!$A:$A,A2,Registro_CE!$F:$F,D2),""))</f>
      </c>
      <c r="H2">
        <f>IF(A2="","",COUNTIFS(Registro_CE!$A:$A,A2,Registro_CE!$F:$F,D2))</f>
      </c>
      <c r="I2">
        <f>IF(A2="","",COUNTIFS(Registro_CE!$A:$A,A2,Registro_CE!$F:$F,D2,Registro_CE!$J:$J,"&lt;&gt;Corregida",Registro_CE!$C:$C,"&lt;&gt;"))</f>
      </c>
    </row>
    <row r="3">
      <c r="A3"/>
      <c r="B3"/>
      <c r="C3" t="inlineStr">
        <is>
          <t>RA1</t>
        </is>
      </c>
      <c r="D3" t="inlineStr">
        <is>
          <t>RA1.b</t>
        </is>
      </c>
      <c r="E3" t="inlineStr">
        <is>
          <t>Valora características de lenguajes según el tipo de aplicación.</t>
        </is>
      </c>
      <c r="F3">
        <f>IF(A3="","",IFERROR(AVERAGEIFS(Registro_CE!$L:$L,Registro_CE!$A:$A,A3,Registro_CE!$F:$F,D3),""))</f>
      </c>
      <c r="G3">
        <f>IF(A3="","",IFERROR(SUMIFS(Registro_CE!$N:$N,Registro_CE!$A:$A,A3,Registro_CE!$F:$F,D3),""))</f>
      </c>
      <c r="H3">
        <f>IF(A3="","",COUNTIFS(Registro_CE!$A:$A,A3,Registro_CE!$F:$F,D3))</f>
      </c>
      <c r="I3">
        <f>IF(A3="","",COUNTIFS(Registro_CE!$A:$A,A3,Registro_CE!$F:$F,D3,Registro_CE!$J:$J,"&lt;&gt;Corregida",Registro_CE!$C:$C,"&lt;&gt;"))</f>
      </c>
    </row>
    <row r="4">
      <c r="A4"/>
      <c r="B4"/>
      <c r="C4" t="inlineStr">
        <is>
          <t>RA1</t>
        </is>
      </c>
      <c r="D4" t="inlineStr">
        <is>
          <t>RA1.c</t>
        </is>
      </c>
      <c r="E4" t="inlineStr">
        <is>
          <t>Determina el lenguaje más apropiado para la aplicación.</t>
        </is>
      </c>
      <c r="F4">
        <f>IF(A4="","",IFERROR(AVERAGEIFS(Registro_CE!$L:$L,Registro_CE!$A:$A,A4,Registro_CE!$F:$F,D4),""))</f>
      </c>
      <c r="G4">
        <f>IF(A4="","",IFERROR(SUMIFS(Registro_CE!$N:$N,Registro_CE!$A:$A,A4,Registro_CE!$F:$F,D4),""))</f>
      </c>
      <c r="H4">
        <f>IF(A4="","",COUNTIFS(Registro_CE!$A:$A,A4,Registro_CE!$F:$F,D4))</f>
      </c>
      <c r="I4">
        <f>IF(A4="","",COUNTIFS(Registro_CE!$A:$A,A4,Registro_CE!$F:$F,D4,Registro_CE!$J:$J,"&lt;&gt;Corregida",Registro_CE!$C:$C,"&lt;&gt;"))</f>
      </c>
    </row>
    <row r="5">
      <c r="A5"/>
      <c r="B5"/>
      <c r="C5" t="inlineStr">
        <is>
          <t>RA1</t>
        </is>
      </c>
      <c r="D5" t="inlineStr">
        <is>
          <t>RA1.d</t>
        </is>
      </c>
      <c r="E5" t="inlineStr">
        <is>
          <t>Valora características de lenguajes para IA.</t>
        </is>
      </c>
      <c r="F5">
        <f>IF(A5="","",IFERROR(AVERAGEIFS(Registro_CE!$L:$L,Registro_CE!$A:$A,A5,Registro_CE!$F:$F,D5),""))</f>
      </c>
      <c r="G5">
        <f>IF(A5="","",IFERROR(SUMIFS(Registro_CE!$N:$N,Registro_CE!$A:$A,A5,Registro_CE!$F:$F,D5),""))</f>
      </c>
      <c r="H5">
        <f>IF(A5="","",COUNTIFS(Registro_CE!$A:$A,A5,Registro_CE!$F:$F,D5))</f>
      </c>
      <c r="I5">
        <f>IF(A5="","",COUNTIFS(Registro_CE!$A:$A,A5,Registro_CE!$F:$F,D5,Registro_CE!$J:$J,"&lt;&gt;Corregida",Registro_CE!$C:$C,"&lt;&gt;"))</f>
      </c>
    </row>
    <row r="6">
      <c r="A6"/>
      <c r="B6"/>
      <c r="C6" t="inlineStr">
        <is>
          <t>RA1</t>
        </is>
      </c>
      <c r="D6" t="inlineStr">
        <is>
          <t>RA1.e</t>
        </is>
      </c>
      <c r="E6" t="inlineStr">
        <is>
          <t>Determina el lenguaje más apropiado para una aplicación de IA.</t>
        </is>
      </c>
      <c r="F6">
        <f>IF(A6="","",IFERROR(AVERAGEIFS(Registro_CE!$L:$L,Registro_CE!$A:$A,A6,Registro_CE!$F:$F,D6),""))</f>
      </c>
      <c r="G6">
        <f>IF(A6="","",IFERROR(SUMIFS(Registro_CE!$N:$N,Registro_CE!$A:$A,A6,Registro_CE!$F:$F,D6),""))</f>
      </c>
      <c r="H6">
        <f>IF(A6="","",COUNTIFS(Registro_CE!$A:$A,A6,Registro_CE!$F:$F,D6))</f>
      </c>
      <c r="I6">
        <f>IF(A6="","",COUNTIFS(Registro_CE!$A:$A,A6,Registro_CE!$F:$F,D6,Registro_CE!$J:$J,"&lt;&gt;Corregida",Registro_CE!$C:$C,"&lt;&gt;"))</f>
      </c>
    </row>
    <row r="7">
      <c r="A7"/>
      <c r="B7"/>
      <c r="C7" t="inlineStr">
        <is>
          <t>RA1</t>
        </is>
      </c>
      <c r="D7" t="inlineStr">
        <is>
          <t>RA1.f</t>
        </is>
      </c>
      <c r="E7" t="inlineStr">
        <is>
          <t>Caracteriza lenguajes de marcado y la información de sus etiquetas.</t>
        </is>
      </c>
      <c r="F7">
        <f>IF(A7="","",IFERROR(AVERAGEIFS(Registro_CE!$L:$L,Registro_CE!$A:$A,A7,Registro_CE!$F:$F,D7),""))</f>
      </c>
      <c r="G7">
        <f>IF(A7="","",IFERROR(SUMIFS(Registro_CE!$N:$N,Registro_CE!$A:$A,A7,Registro_CE!$F:$F,D7),""))</f>
      </c>
      <c r="H7">
        <f>IF(A7="","",COUNTIFS(Registro_CE!$A:$A,A7,Registro_CE!$F:$F,D7))</f>
      </c>
      <c r="I7">
        <f>IF(A7="","",COUNTIFS(Registro_CE!$A:$A,A7,Registro_CE!$F:$F,D7,Registro_CE!$J:$J,"&lt;&gt;Corregida",Registro_CE!$C:$C,"&lt;&gt;"))</f>
      </c>
    </row>
    <row r="8">
      <c r="A8"/>
      <c r="B8"/>
      <c r="C8" t="inlineStr">
        <is>
          <t>RA2</t>
        </is>
      </c>
      <c r="D8" t="inlineStr">
        <is>
          <t>RA2.a</t>
        </is>
      </c>
      <c r="E8" t="inlineStr">
        <is>
          <t>Evalúa plataformas de Inteligencia Artificial.</t>
        </is>
      </c>
      <c r="F8">
        <f>IF(A8="","",IFERROR(AVERAGEIFS(Registro_CE!$L:$L,Registro_CE!$A:$A,A8,Registro_CE!$F:$F,D8),""))</f>
      </c>
      <c r="G8">
        <f>IF(A8="","",IFERROR(SUMIFS(Registro_CE!$N:$N,Registro_CE!$A:$A,A8,Registro_CE!$F:$F,D8),""))</f>
      </c>
      <c r="H8">
        <f>IF(A8="","",COUNTIFS(Registro_CE!$A:$A,A8,Registro_CE!$F:$F,D8))</f>
      </c>
      <c r="I8">
        <f>IF(A8="","",COUNTIFS(Registro_CE!$A:$A,A8,Registro_CE!$F:$F,D8,Registro_CE!$J:$J,"&lt;&gt;Corregida",Registro_CE!$C:$C,"&lt;&gt;"))</f>
      </c>
    </row>
    <row r="9">
      <c r="A9"/>
      <c r="B9"/>
      <c r="C9" t="inlineStr">
        <is>
          <t>RA2</t>
        </is>
      </c>
      <c r="D9" t="inlineStr">
        <is>
          <t>RA2.b</t>
        </is>
      </c>
      <c r="E9" t="inlineStr">
        <is>
          <t>Caracteriza entornos de modelado de aplicaciones de IA.</t>
        </is>
      </c>
      <c r="F9">
        <f>IF(A9="","",IFERROR(AVERAGEIFS(Registro_CE!$L:$L,Registro_CE!$A:$A,A9,Registro_CE!$F:$F,D9),""))</f>
      </c>
      <c r="G9">
        <f>IF(A9="","",IFERROR(SUMIFS(Registro_CE!$N:$N,Registro_CE!$A:$A,A9,Registro_CE!$F:$F,D9),""))</f>
      </c>
      <c r="H9">
        <f>IF(A9="","",COUNTIFS(Registro_CE!$A:$A,A9,Registro_CE!$F:$F,D9))</f>
      </c>
      <c r="I9">
        <f>IF(A9="","",COUNTIFS(Registro_CE!$A:$A,A9,Registro_CE!$F:$F,D9,Registro_CE!$J:$J,"&lt;&gt;Corregida",Registro_CE!$C:$C,"&lt;&gt;"))</f>
      </c>
    </row>
    <row r="10">
      <c r="A10"/>
      <c r="B10"/>
      <c r="C10" t="inlineStr">
        <is>
          <t>RA2</t>
        </is>
      </c>
      <c r="D10" t="inlineStr">
        <is>
          <t>RA2.c</t>
        </is>
      </c>
      <c r="E10" t="inlineStr">
        <is>
          <t>Define el modelo según el problema planteado.</t>
        </is>
      </c>
      <c r="F10">
        <f>IF(A10="","",IFERROR(AVERAGEIFS(Registro_CE!$L:$L,Registro_CE!$A:$A,A10,Registro_CE!$F:$F,D10),""))</f>
      </c>
      <c r="G10">
        <f>IF(A10="","",IFERROR(SUMIFS(Registro_CE!$N:$N,Registro_CE!$A:$A,A10,Registro_CE!$F:$F,D10),""))</f>
      </c>
      <c r="H10">
        <f>IF(A10="","",COUNTIFS(Registro_CE!$A:$A,A10,Registro_CE!$F:$F,D10))</f>
      </c>
      <c r="I10">
        <f>IF(A10="","",COUNTIFS(Registro_CE!$A:$A,A10,Registro_CE!$F:$F,D10,Registro_CE!$J:$J,"&lt;&gt;Corregida",Registro_CE!$C:$C,"&lt;&gt;"))</f>
      </c>
    </row>
    <row r="11">
      <c r="A11"/>
      <c r="B11"/>
      <c r="C11" t="inlineStr">
        <is>
          <t>RA2</t>
        </is>
      </c>
      <c r="D11" t="inlineStr">
        <is>
          <t>RA2.d</t>
        </is>
      </c>
      <c r="E11" t="inlineStr">
        <is>
          <t>Implementa la aplicación de Inteligencia Artificial.</t>
        </is>
      </c>
      <c r="F11">
        <f>IF(A11="","",IFERROR(AVERAGEIFS(Registro_CE!$L:$L,Registro_CE!$A:$A,A11,Registro_CE!$F:$F,D11),""))</f>
      </c>
      <c r="G11">
        <f>IF(A11="","",IFERROR(SUMIFS(Registro_CE!$N:$N,Registro_CE!$A:$A,A11,Registro_CE!$F:$F,D11),""))</f>
      </c>
      <c r="H11">
        <f>IF(A11="","",COUNTIFS(Registro_CE!$A:$A,A11,Registro_CE!$F:$F,D11))</f>
      </c>
      <c r="I11">
        <f>IF(A11="","",COUNTIFS(Registro_CE!$A:$A,A11,Registro_CE!$F:$F,D11,Registro_CE!$J:$J,"&lt;&gt;Corregida",Registro_CE!$C:$C,"&lt;&gt;"))</f>
      </c>
    </row>
    <row r="12">
      <c r="A12"/>
      <c r="B12"/>
      <c r="C12" t="inlineStr">
        <is>
          <t>RA2</t>
        </is>
      </c>
      <c r="D12" t="inlineStr">
        <is>
          <t>RA2.e</t>
        </is>
      </c>
      <c r="E12" t="inlineStr">
        <is>
          <t>Evalúa los resultados obtenidos.</t>
        </is>
      </c>
      <c r="F12">
        <f>IF(A12="","",IFERROR(AVERAGEIFS(Registro_CE!$L:$L,Registro_CE!$A:$A,A12,Registro_CE!$F:$F,D12),""))</f>
      </c>
      <c r="G12">
        <f>IF(A12="","",IFERROR(SUMIFS(Registro_CE!$N:$N,Registro_CE!$A:$A,A12,Registro_CE!$F:$F,D12),""))</f>
      </c>
      <c r="H12">
        <f>IF(A12="","",COUNTIFS(Registro_CE!$A:$A,A12,Registro_CE!$F:$F,D12))</f>
      </c>
      <c r="I12">
        <f>IF(A12="","",COUNTIFS(Registro_CE!$A:$A,A12,Registro_CE!$F:$F,D12,Registro_CE!$J:$J,"&lt;&gt;Corregida",Registro_CE!$C:$C,"&lt;&gt;"))</f>
      </c>
    </row>
    <row r="13">
      <c r="A13"/>
      <c r="B13"/>
      <c r="C13" t="inlineStr">
        <is>
          <t>RA3</t>
        </is>
      </c>
      <c r="D13" t="inlineStr">
        <is>
          <t>RA3.a</t>
        </is>
      </c>
      <c r="E13" t="inlineStr">
        <is>
          <t>Identifica ventajas de unificar procesos, servicios, herramientas, métodos y sectores.</t>
        </is>
      </c>
      <c r="F13">
        <f>IF(A13="","",IFERROR(AVERAGEIFS(Registro_CE!$L:$L,Registro_CE!$A:$A,A13,Registro_CE!$F:$F,D13),""))</f>
      </c>
      <c r="G13">
        <f>IF(A13="","",IFERROR(SUMIFS(Registro_CE!$N:$N,Registro_CE!$A:$A,A13,Registro_CE!$F:$F,D13),""))</f>
      </c>
      <c r="H13">
        <f>IF(A13="","",COUNTIFS(Registro_CE!$A:$A,A13,Registro_CE!$F:$F,D13))</f>
      </c>
      <c r="I13">
        <f>IF(A13="","",COUNTIFS(Registro_CE!$A:$A,A13,Registro_CE!$F:$F,D13,Registro_CE!$J:$J,"&lt;&gt;Corregida",Registro_CE!$C:$C,"&lt;&gt;"))</f>
      </c>
    </row>
    <row r="14">
      <c r="A14"/>
      <c r="B14"/>
      <c r="C14" t="inlineStr">
        <is>
          <t>RA3</t>
        </is>
      </c>
      <c r="D14" t="inlineStr">
        <is>
          <t>RA3.b</t>
        </is>
      </c>
      <c r="E14" t="inlineStr">
        <is>
          <t>Identifica sistemas que facilitan la conexión tecnológica.</t>
        </is>
      </c>
      <c r="F14">
        <f>IF(A14="","",IFERROR(AVERAGEIFS(Registro_CE!$L:$L,Registro_CE!$A:$A,A14,Registro_CE!$F:$F,D14),""))</f>
      </c>
      <c r="G14">
        <f>IF(A14="","",IFERROR(SUMIFS(Registro_CE!$N:$N,Registro_CE!$A:$A,A14,Registro_CE!$F:$F,D14),""))</f>
      </c>
      <c r="H14">
        <f>IF(A14="","",COUNTIFS(Registro_CE!$A:$A,A14,Registro_CE!$F:$F,D14))</f>
      </c>
      <c r="I14">
        <f>IF(A14="","",COUNTIFS(Registro_CE!$A:$A,A14,Registro_CE!$F:$F,D14,Registro_CE!$J:$J,"&lt;&gt;Corregida",Registro_CE!$C:$C,"&lt;&gt;"))</f>
      </c>
    </row>
    <row r="15">
      <c r="A15"/>
      <c r="B15"/>
      <c r="C15" t="inlineStr">
        <is>
          <t>RA3</t>
        </is>
      </c>
      <c r="D15" t="inlineStr">
        <is>
          <t>RA3.c</t>
        </is>
      </c>
      <c r="E15" t="inlineStr">
        <is>
          <t>Evalúa características de dichos sistemas.</t>
        </is>
      </c>
      <c r="F15">
        <f>IF(A15="","",IFERROR(AVERAGEIFS(Registro_CE!$L:$L,Registro_CE!$A:$A,A15,Registro_CE!$F:$F,D15),""))</f>
      </c>
      <c r="G15">
        <f>IF(A15="","",IFERROR(SUMIFS(Registro_CE!$N:$N,Registro_CE!$A:$A,A15,Registro_CE!$F:$F,D15),""))</f>
      </c>
      <c r="H15">
        <f>IF(A15="","",COUNTIFS(Registro_CE!$A:$A,A15,Registro_CE!$F:$F,D15))</f>
      </c>
      <c r="I15">
        <f>IF(A15="","",COUNTIFS(Registro_CE!$A:$A,A15,Registro_CE!$F:$F,D15,Registro_CE!$J:$J,"&lt;&gt;Corregida",Registro_CE!$C:$C,"&lt;&gt;"))</f>
      </c>
    </row>
    <row r="16">
      <c r="A16"/>
      <c r="B16"/>
      <c r="C16" t="inlineStr">
        <is>
          <t>RA3</t>
        </is>
      </c>
      <c r="D16" t="inlineStr">
        <is>
          <t>RA3.d</t>
        </is>
      </c>
      <c r="E16" t="inlineStr">
        <is>
          <t>Evalúa cómo la convergencia tecnológica aporta seguridad en los negocios.</t>
        </is>
      </c>
      <c r="F16">
        <f>IF(A16="","",IFERROR(AVERAGEIFS(Registro_CE!$L:$L,Registro_CE!$A:$A,A16,Registro_CE!$F:$F,D16),""))</f>
      </c>
      <c r="G16">
        <f>IF(A16="","",IFERROR(SUMIFS(Registro_CE!$N:$N,Registro_CE!$A:$A,A16,Registro_CE!$F:$F,D16),""))</f>
      </c>
      <c r="H16">
        <f>IF(A16="","",COUNTIFS(Registro_CE!$A:$A,A16,Registro_CE!$F:$F,D16))</f>
      </c>
      <c r="I16">
        <f>IF(A16="","",COUNTIFS(Registro_CE!$A:$A,A16,Registro_CE!$F:$F,D16,Registro_CE!$J:$J,"&lt;&gt;Corregida",Registro_CE!$C:$C,"&lt;&gt;"))</f>
      </c>
    </row>
    <row r="17">
      <c r="A17"/>
      <c r="B17"/>
      <c r="C17" t="inlineStr">
        <is>
          <t>RA3</t>
        </is>
      </c>
      <c r="D17" t="inlineStr">
        <is>
          <t>RA3.e</t>
        </is>
      </c>
      <c r="E17" t="inlineStr">
        <is>
          <t>Evalúa la mejora en la toma de decisiones estratégicas en un negocio conectado.</t>
        </is>
      </c>
      <c r="F17">
        <f>IF(A17="","",IFERROR(AVERAGEIFS(Registro_CE!$L:$L,Registro_CE!$A:$A,A17,Registro_CE!$F:$F,D17),""))</f>
      </c>
      <c r="G17">
        <f>IF(A17="","",IFERROR(SUMIFS(Registro_CE!$N:$N,Registro_CE!$A:$A,A17,Registro_CE!$F:$F,D17),""))</f>
      </c>
      <c r="H17">
        <f>IF(A17="","",COUNTIFS(Registro_CE!$A:$A,A17,Registro_CE!$F:$F,D17))</f>
      </c>
      <c r="I17">
        <f>IF(A17="","",COUNTIFS(Registro_CE!$A:$A,A17,Registro_CE!$F:$F,D17,Registro_CE!$J:$J,"&lt;&gt;Corregida",Registro_CE!$C:$C,"&lt;&gt;"))</f>
      </c>
    </row>
    <row r="18">
      <c r="A18"/>
      <c r="B18"/>
      <c r="C18" t="inlineStr">
        <is>
          <t>RA4</t>
        </is>
      </c>
      <c r="D18" t="inlineStr">
        <is>
          <t>RA4.a</t>
        </is>
      </c>
      <c r="E18" t="inlineStr">
        <is>
          <t>Identifica estrategias corporativas y modelos de negocio.</t>
        </is>
      </c>
      <c r="F18">
        <f>IF(A18="","",IFERROR(AVERAGEIFS(Registro_CE!$L:$L,Registro_CE!$A:$A,A18,Registro_CE!$F:$F,D18),""))</f>
      </c>
      <c r="G18">
        <f>IF(A18="","",IFERROR(SUMIFS(Registro_CE!$N:$N,Registro_CE!$A:$A,A18,Registro_CE!$F:$F,D18),""))</f>
      </c>
      <c r="H18">
        <f>IF(A18="","",COUNTIFS(Registro_CE!$A:$A,A18,Registro_CE!$F:$F,D18))</f>
      </c>
      <c r="I18">
        <f>IF(A18="","",COUNTIFS(Registro_CE!$A:$A,A18,Registro_CE!$F:$F,D18,Registro_CE!$J:$J,"&lt;&gt;Corregida",Registro_CE!$C:$C,"&lt;&gt;"))</f>
      </c>
    </row>
    <row r="19">
      <c r="A19"/>
      <c r="B19"/>
      <c r="C19" t="inlineStr">
        <is>
          <t>RA4</t>
        </is>
      </c>
      <c r="D19" t="inlineStr">
        <is>
          <t>RA4.b</t>
        </is>
      </c>
      <c r="E19" t="inlineStr">
        <is>
          <t>Define relación empresa-cliente y gestión de activos/recursos.</t>
        </is>
      </c>
      <c r="F19">
        <f>IF(A19="","",IFERROR(AVERAGEIFS(Registro_CE!$L:$L,Registro_CE!$A:$A,A19,Registro_CE!$F:$F,D19),""))</f>
      </c>
      <c r="G19">
        <f>IF(A19="","",IFERROR(SUMIFS(Registro_CE!$N:$N,Registro_CE!$A:$A,A19,Registro_CE!$F:$F,D19),""))</f>
      </c>
      <c r="H19">
        <f>IF(A19="","",COUNTIFS(Registro_CE!$A:$A,A19,Registro_CE!$F:$F,D19))</f>
      </c>
      <c r="I19">
        <f>IF(A19="","",COUNTIFS(Registro_CE!$A:$A,A19,Registro_CE!$F:$F,D19,Registro_CE!$J:$J,"&lt;&gt;Corregida",Registro_CE!$C:$C,"&lt;&gt;"))</f>
      </c>
    </row>
    <row r="20">
      <c r="A20"/>
      <c r="B20"/>
      <c r="C20" t="inlineStr">
        <is>
          <t>RA4</t>
        </is>
      </c>
      <c r="D20" t="inlineStr">
        <is>
          <t>RA4.c</t>
        </is>
      </c>
      <c r="E20" t="inlineStr">
        <is>
          <t>Evalúa modelos de automatización para requerimientos industriales y de negocio.</t>
        </is>
      </c>
      <c r="F20">
        <f>IF(A20="","",IFERROR(AVERAGEIFS(Registro_CE!$L:$L,Registro_CE!$A:$A,A20,Registro_CE!$F:$F,D20),""))</f>
      </c>
      <c r="G20">
        <f>IF(A20="","",IFERROR(SUMIFS(Registro_CE!$N:$N,Registro_CE!$A:$A,A20,Registro_CE!$F:$F,D20),""))</f>
      </c>
      <c r="H20">
        <f>IF(A20="","",COUNTIFS(Registro_CE!$A:$A,A20,Registro_CE!$F:$F,D20))</f>
      </c>
      <c r="I20">
        <f>IF(A20="","",COUNTIFS(Registro_CE!$A:$A,A20,Registro_CE!$F:$F,D20,Registro_CE!$J:$J,"&lt;&gt;Corregida",Registro_CE!$C:$C,"&lt;&gt;"))</f>
      </c>
    </row>
    <row r="21">
      <c r="A21"/>
      <c r="B21"/>
      <c r="C21" t="inlineStr">
        <is>
          <t>RA4</t>
        </is>
      </c>
      <c r="D21" t="inlineStr">
        <is>
          <t>RA4.d</t>
        </is>
      </c>
      <c r="E21" t="inlineStr">
        <is>
          <t>Evalúa la conveniencia de cada modelo para conseguir resultados esperados.</t>
        </is>
      </c>
      <c r="F21">
        <f>IF(A21="","",IFERROR(AVERAGEIFS(Registro_CE!$L:$L,Registro_CE!$A:$A,A21,Registro_CE!$F:$F,D21),""))</f>
      </c>
      <c r="G21">
        <f>IF(A21="","",IFERROR(SUMIFS(Registro_CE!$N:$N,Registro_CE!$A:$A,A21,Registro_CE!$F:$F,D21),""))</f>
      </c>
      <c r="H21">
        <f>IF(A21="","",COUNTIFS(Registro_CE!$A:$A,A21,Registro_CE!$F:$F,D21))</f>
      </c>
      <c r="I21">
        <f>IF(A21="","",COUNTIFS(Registro_CE!$A:$A,A21,Registro_CE!$F:$F,D21,Registro_CE!$J:$J,"&lt;&gt;Corregida",Registro_CE!$C:$C,"&lt;&gt;"))</f>
      </c>
    </row>
    <row r="22">
      <c r="A22"/>
      <c r="B22"/>
      <c r="C22" t="inlineStr">
        <is>
          <t>RA1</t>
        </is>
      </c>
      <c r="D22" t="inlineStr">
        <is>
          <t>RA1.a</t>
        </is>
      </c>
      <c r="E22" t="inlineStr">
        <is>
          <t>Identifica la estructura de un programa informático.</t>
        </is>
      </c>
      <c r="F22">
        <f>IF(A22="","",IFERROR(AVERAGEIFS(Registro_CE!$L:$L,Registro_CE!$A:$A,A22,Registro_CE!$F:$F,D22),""))</f>
      </c>
      <c r="G22">
        <f>IF(A22="","",IFERROR(SUMIFS(Registro_CE!$N:$N,Registro_CE!$A:$A,A22,Registro_CE!$F:$F,D22),""))</f>
      </c>
      <c r="H22">
        <f>IF(A22="","",COUNTIFS(Registro_CE!$A:$A,A22,Registro_CE!$F:$F,D22))</f>
      </c>
      <c r="I22">
        <f>IF(A22="","",COUNTIFS(Registro_CE!$A:$A,A22,Registro_CE!$F:$F,D22,Registro_CE!$J:$J,"&lt;&gt;Corregida",Registro_CE!$C:$C,"&lt;&gt;"))</f>
      </c>
    </row>
    <row r="23">
      <c r="A23"/>
      <c r="B23"/>
      <c r="C23" t="inlineStr">
        <is>
          <t>RA1</t>
        </is>
      </c>
      <c r="D23" t="inlineStr">
        <is>
          <t>RA1.b</t>
        </is>
      </c>
      <c r="E23" t="inlineStr">
        <is>
          <t>Valora características de lenguajes según el tipo de aplicación.</t>
        </is>
      </c>
      <c r="F23">
        <f>IF(A23="","",IFERROR(AVERAGEIFS(Registro_CE!$L:$L,Registro_CE!$A:$A,A23,Registro_CE!$F:$F,D23),""))</f>
      </c>
      <c r="G23">
        <f>IF(A23="","",IFERROR(SUMIFS(Registro_CE!$N:$N,Registro_CE!$A:$A,A23,Registro_CE!$F:$F,D23),""))</f>
      </c>
      <c r="H23">
        <f>IF(A23="","",COUNTIFS(Registro_CE!$A:$A,A23,Registro_CE!$F:$F,D23))</f>
      </c>
      <c r="I23">
        <f>IF(A23="","",COUNTIFS(Registro_CE!$A:$A,A23,Registro_CE!$F:$F,D23,Registro_CE!$J:$J,"&lt;&gt;Corregida",Registro_CE!$C:$C,"&lt;&gt;"))</f>
      </c>
    </row>
    <row r="24">
      <c r="A24"/>
      <c r="B24"/>
      <c r="C24" t="inlineStr">
        <is>
          <t>RA1</t>
        </is>
      </c>
      <c r="D24" t="inlineStr">
        <is>
          <t>RA1.c</t>
        </is>
      </c>
      <c r="E24" t="inlineStr">
        <is>
          <t>Determina el lenguaje más apropiado para la aplicación.</t>
        </is>
      </c>
      <c r="F24">
        <f>IF(A24="","",IFERROR(AVERAGEIFS(Registro_CE!$L:$L,Registro_CE!$A:$A,A24,Registro_CE!$F:$F,D24),""))</f>
      </c>
      <c r="G24">
        <f>IF(A24="","",IFERROR(SUMIFS(Registro_CE!$N:$N,Registro_CE!$A:$A,A24,Registro_CE!$F:$F,D24),""))</f>
      </c>
      <c r="H24">
        <f>IF(A24="","",COUNTIFS(Registro_CE!$A:$A,A24,Registro_CE!$F:$F,D24))</f>
      </c>
      <c r="I24">
        <f>IF(A24="","",COUNTIFS(Registro_CE!$A:$A,A24,Registro_CE!$F:$F,D24,Registro_CE!$J:$J,"&lt;&gt;Corregida",Registro_CE!$C:$C,"&lt;&gt;"))</f>
      </c>
    </row>
    <row r="25">
      <c r="A25"/>
      <c r="B25"/>
      <c r="C25" t="inlineStr">
        <is>
          <t>RA1</t>
        </is>
      </c>
      <c r="D25" t="inlineStr">
        <is>
          <t>RA1.d</t>
        </is>
      </c>
      <c r="E25" t="inlineStr">
        <is>
          <t>Valora características de lenguajes para IA.</t>
        </is>
      </c>
      <c r="F25">
        <f>IF(A25="","",IFERROR(AVERAGEIFS(Registro_CE!$L:$L,Registro_CE!$A:$A,A25,Registro_CE!$F:$F,D25),""))</f>
      </c>
      <c r="G25">
        <f>IF(A25="","",IFERROR(SUMIFS(Registro_CE!$N:$N,Registro_CE!$A:$A,A25,Registro_CE!$F:$F,D25),""))</f>
      </c>
      <c r="H25">
        <f>IF(A25="","",COUNTIFS(Registro_CE!$A:$A,A25,Registro_CE!$F:$F,D25))</f>
      </c>
      <c r="I25">
        <f>IF(A25="","",COUNTIFS(Registro_CE!$A:$A,A25,Registro_CE!$F:$F,D25,Registro_CE!$J:$J,"&lt;&gt;Corregida",Registro_CE!$C:$C,"&lt;&gt;"))</f>
      </c>
    </row>
    <row r="26">
      <c r="A26"/>
      <c r="B26"/>
      <c r="C26" t="inlineStr">
        <is>
          <t>RA1</t>
        </is>
      </c>
      <c r="D26" t="inlineStr">
        <is>
          <t>RA1.e</t>
        </is>
      </c>
      <c r="E26" t="inlineStr">
        <is>
          <t>Determina el lenguaje más apropiado para una aplicación de IA.</t>
        </is>
      </c>
      <c r="F26">
        <f>IF(A26="","",IFERROR(AVERAGEIFS(Registro_CE!$L:$L,Registro_CE!$A:$A,A26,Registro_CE!$F:$F,D26),""))</f>
      </c>
      <c r="G26">
        <f>IF(A26="","",IFERROR(SUMIFS(Registro_CE!$N:$N,Registro_CE!$A:$A,A26,Registro_CE!$F:$F,D26),""))</f>
      </c>
      <c r="H26">
        <f>IF(A26="","",COUNTIFS(Registro_CE!$A:$A,A26,Registro_CE!$F:$F,D26))</f>
      </c>
      <c r="I26">
        <f>IF(A26="","",COUNTIFS(Registro_CE!$A:$A,A26,Registro_CE!$F:$F,D26,Registro_CE!$J:$J,"&lt;&gt;Corregida",Registro_CE!$C:$C,"&lt;&gt;"))</f>
      </c>
    </row>
    <row r="27">
      <c r="A27"/>
      <c r="B27"/>
      <c r="C27" t="inlineStr">
        <is>
          <t>RA1</t>
        </is>
      </c>
      <c r="D27" t="inlineStr">
        <is>
          <t>RA1.f</t>
        </is>
      </c>
      <c r="E27" t="inlineStr">
        <is>
          <t>Caracteriza lenguajes de marcado y la información de sus etiquetas.</t>
        </is>
      </c>
      <c r="F27">
        <f>IF(A27="","",IFERROR(AVERAGEIFS(Registro_CE!$L:$L,Registro_CE!$A:$A,A27,Registro_CE!$F:$F,D27),""))</f>
      </c>
      <c r="G27">
        <f>IF(A27="","",IFERROR(SUMIFS(Registro_CE!$N:$N,Registro_CE!$A:$A,A27,Registro_CE!$F:$F,D27),""))</f>
      </c>
      <c r="H27">
        <f>IF(A27="","",COUNTIFS(Registro_CE!$A:$A,A27,Registro_CE!$F:$F,D27))</f>
      </c>
      <c r="I27">
        <f>IF(A27="","",COUNTIFS(Registro_CE!$A:$A,A27,Registro_CE!$F:$F,D27,Registro_CE!$J:$J,"&lt;&gt;Corregida",Registro_CE!$C:$C,"&lt;&gt;"))</f>
      </c>
    </row>
    <row r="28">
      <c r="A28"/>
      <c r="B28"/>
      <c r="C28" t="inlineStr">
        <is>
          <t>RA2</t>
        </is>
      </c>
      <c r="D28" t="inlineStr">
        <is>
          <t>RA2.a</t>
        </is>
      </c>
      <c r="E28" t="inlineStr">
        <is>
          <t>Evalúa plataformas de Inteligencia Artificial.</t>
        </is>
      </c>
      <c r="F28">
        <f>IF(A28="","",IFERROR(AVERAGEIFS(Registro_CE!$L:$L,Registro_CE!$A:$A,A28,Registro_CE!$F:$F,D28),""))</f>
      </c>
      <c r="G28">
        <f>IF(A28="","",IFERROR(SUMIFS(Registro_CE!$N:$N,Registro_CE!$A:$A,A28,Registro_CE!$F:$F,D28),""))</f>
      </c>
      <c r="H28">
        <f>IF(A28="","",COUNTIFS(Registro_CE!$A:$A,A28,Registro_CE!$F:$F,D28))</f>
      </c>
      <c r="I28">
        <f>IF(A28="","",COUNTIFS(Registro_CE!$A:$A,A28,Registro_CE!$F:$F,D28,Registro_CE!$J:$J,"&lt;&gt;Corregida",Registro_CE!$C:$C,"&lt;&gt;"))</f>
      </c>
    </row>
    <row r="29">
      <c r="A29"/>
      <c r="B29"/>
      <c r="C29" t="inlineStr">
        <is>
          <t>RA2</t>
        </is>
      </c>
      <c r="D29" t="inlineStr">
        <is>
          <t>RA2.b</t>
        </is>
      </c>
      <c r="E29" t="inlineStr">
        <is>
          <t>Caracteriza entornos de modelado de aplicaciones de IA.</t>
        </is>
      </c>
      <c r="F29">
        <f>IF(A29="","",IFERROR(AVERAGEIFS(Registro_CE!$L:$L,Registro_CE!$A:$A,A29,Registro_CE!$F:$F,D29),""))</f>
      </c>
      <c r="G29">
        <f>IF(A29="","",IFERROR(SUMIFS(Registro_CE!$N:$N,Registro_CE!$A:$A,A29,Registro_CE!$F:$F,D29),""))</f>
      </c>
      <c r="H29">
        <f>IF(A29="","",COUNTIFS(Registro_CE!$A:$A,A29,Registro_CE!$F:$F,D29))</f>
      </c>
      <c r="I29">
        <f>IF(A29="","",COUNTIFS(Registro_CE!$A:$A,A29,Registro_CE!$F:$F,D29,Registro_CE!$J:$J,"&lt;&gt;Corregida",Registro_CE!$C:$C,"&lt;&gt;"))</f>
      </c>
    </row>
    <row r="30">
      <c r="A30"/>
      <c r="B30"/>
      <c r="C30" t="inlineStr">
        <is>
          <t>RA2</t>
        </is>
      </c>
      <c r="D30" t="inlineStr">
        <is>
          <t>RA2.c</t>
        </is>
      </c>
      <c r="E30" t="inlineStr">
        <is>
          <t>Define el modelo según el problema planteado.</t>
        </is>
      </c>
      <c r="F30">
        <f>IF(A30="","",IFERROR(AVERAGEIFS(Registro_CE!$L:$L,Registro_CE!$A:$A,A30,Registro_CE!$F:$F,D30),""))</f>
      </c>
      <c r="G30">
        <f>IF(A30="","",IFERROR(SUMIFS(Registro_CE!$N:$N,Registro_CE!$A:$A,A30,Registro_CE!$F:$F,D30),""))</f>
      </c>
      <c r="H30">
        <f>IF(A30="","",COUNTIFS(Registro_CE!$A:$A,A30,Registro_CE!$F:$F,D30))</f>
      </c>
      <c r="I30">
        <f>IF(A30="","",COUNTIFS(Registro_CE!$A:$A,A30,Registro_CE!$F:$F,D30,Registro_CE!$J:$J,"&lt;&gt;Corregida",Registro_CE!$C:$C,"&lt;&gt;"))</f>
      </c>
    </row>
    <row r="31">
      <c r="A31"/>
      <c r="B31"/>
      <c r="C31" t="inlineStr">
        <is>
          <t>RA2</t>
        </is>
      </c>
      <c r="D31" t="inlineStr">
        <is>
          <t>RA2.d</t>
        </is>
      </c>
      <c r="E31" t="inlineStr">
        <is>
          <t>Implementa la aplicación de Inteligencia Artificial.</t>
        </is>
      </c>
      <c r="F31">
        <f>IF(A31="","",IFERROR(AVERAGEIFS(Registro_CE!$L:$L,Registro_CE!$A:$A,A31,Registro_CE!$F:$F,D31),""))</f>
      </c>
      <c r="G31">
        <f>IF(A31="","",IFERROR(SUMIFS(Registro_CE!$N:$N,Registro_CE!$A:$A,A31,Registro_CE!$F:$F,D31),""))</f>
      </c>
      <c r="H31">
        <f>IF(A31="","",COUNTIFS(Registro_CE!$A:$A,A31,Registro_CE!$F:$F,D31))</f>
      </c>
      <c r="I31">
        <f>IF(A31="","",COUNTIFS(Registro_CE!$A:$A,A31,Registro_CE!$F:$F,D31,Registro_CE!$J:$J,"&lt;&gt;Corregida",Registro_CE!$C:$C,"&lt;&gt;"))</f>
      </c>
    </row>
    <row r="32">
      <c r="A32"/>
      <c r="B32"/>
      <c r="C32" t="inlineStr">
        <is>
          <t>RA2</t>
        </is>
      </c>
      <c r="D32" t="inlineStr">
        <is>
          <t>RA2.e</t>
        </is>
      </c>
      <c r="E32" t="inlineStr">
        <is>
          <t>Evalúa los resultados obtenidos.</t>
        </is>
      </c>
      <c r="F32">
        <f>IF(A32="","",IFERROR(AVERAGEIFS(Registro_CE!$L:$L,Registro_CE!$A:$A,A32,Registro_CE!$F:$F,D32),""))</f>
      </c>
      <c r="G32">
        <f>IF(A32="","",IFERROR(SUMIFS(Registro_CE!$N:$N,Registro_CE!$A:$A,A32,Registro_CE!$F:$F,D32),""))</f>
      </c>
      <c r="H32">
        <f>IF(A32="","",COUNTIFS(Registro_CE!$A:$A,A32,Registro_CE!$F:$F,D32))</f>
      </c>
      <c r="I32">
        <f>IF(A32="","",COUNTIFS(Registro_CE!$A:$A,A32,Registro_CE!$F:$F,D32,Registro_CE!$J:$J,"&lt;&gt;Corregida",Registro_CE!$C:$C,"&lt;&gt;"))</f>
      </c>
    </row>
    <row r="33">
      <c r="A33"/>
      <c r="B33"/>
      <c r="C33" t="inlineStr">
        <is>
          <t>RA3</t>
        </is>
      </c>
      <c r="D33" t="inlineStr">
        <is>
          <t>RA3.a</t>
        </is>
      </c>
      <c r="E33" t="inlineStr">
        <is>
          <t>Identifica ventajas de unificar procesos, servicios, herramientas, métodos y sectores.</t>
        </is>
      </c>
      <c r="F33">
        <f>IF(A33="","",IFERROR(AVERAGEIFS(Registro_CE!$L:$L,Registro_CE!$A:$A,A33,Registro_CE!$F:$F,D33),""))</f>
      </c>
      <c r="G33">
        <f>IF(A33="","",IFERROR(SUMIFS(Registro_CE!$N:$N,Registro_CE!$A:$A,A33,Registro_CE!$F:$F,D33),""))</f>
      </c>
      <c r="H33">
        <f>IF(A33="","",COUNTIFS(Registro_CE!$A:$A,A33,Registro_CE!$F:$F,D33))</f>
      </c>
      <c r="I33">
        <f>IF(A33="","",COUNTIFS(Registro_CE!$A:$A,A33,Registro_CE!$F:$F,D33,Registro_CE!$J:$J,"&lt;&gt;Corregida",Registro_CE!$C:$C,"&lt;&gt;"))</f>
      </c>
    </row>
    <row r="34">
      <c r="A34"/>
      <c r="B34"/>
      <c r="C34" t="inlineStr">
        <is>
          <t>RA3</t>
        </is>
      </c>
      <c r="D34" t="inlineStr">
        <is>
          <t>RA3.b</t>
        </is>
      </c>
      <c r="E34" t="inlineStr">
        <is>
          <t>Identifica sistemas que facilitan la conexión tecnológica.</t>
        </is>
      </c>
      <c r="F34">
        <f>IF(A34="","",IFERROR(AVERAGEIFS(Registro_CE!$L:$L,Registro_CE!$A:$A,A34,Registro_CE!$F:$F,D34),""))</f>
      </c>
      <c r="G34">
        <f>IF(A34="","",IFERROR(SUMIFS(Registro_CE!$N:$N,Registro_CE!$A:$A,A34,Registro_CE!$F:$F,D34),""))</f>
      </c>
      <c r="H34">
        <f>IF(A34="","",COUNTIFS(Registro_CE!$A:$A,A34,Registro_CE!$F:$F,D34))</f>
      </c>
      <c r="I34">
        <f>IF(A34="","",COUNTIFS(Registro_CE!$A:$A,A34,Registro_CE!$F:$F,D34,Registro_CE!$J:$J,"&lt;&gt;Corregida",Registro_CE!$C:$C,"&lt;&gt;"))</f>
      </c>
    </row>
    <row r="35">
      <c r="A35"/>
      <c r="B35"/>
      <c r="C35" t="inlineStr">
        <is>
          <t>RA3</t>
        </is>
      </c>
      <c r="D35" t="inlineStr">
        <is>
          <t>RA3.c</t>
        </is>
      </c>
      <c r="E35" t="inlineStr">
        <is>
          <t>Evalúa características de dichos sistemas.</t>
        </is>
      </c>
      <c r="F35">
        <f>IF(A35="","",IFERROR(AVERAGEIFS(Registro_CE!$L:$L,Registro_CE!$A:$A,A35,Registro_CE!$F:$F,D35),""))</f>
      </c>
      <c r="G35">
        <f>IF(A35="","",IFERROR(SUMIFS(Registro_CE!$N:$N,Registro_CE!$A:$A,A35,Registro_CE!$F:$F,D35),""))</f>
      </c>
      <c r="H35">
        <f>IF(A35="","",COUNTIFS(Registro_CE!$A:$A,A35,Registro_CE!$F:$F,D35))</f>
      </c>
      <c r="I35">
        <f>IF(A35="","",COUNTIFS(Registro_CE!$A:$A,A35,Registro_CE!$F:$F,D35,Registro_CE!$J:$J,"&lt;&gt;Corregida",Registro_CE!$C:$C,"&lt;&gt;"))</f>
      </c>
    </row>
    <row r="36">
      <c r="A36"/>
      <c r="B36"/>
      <c r="C36" t="inlineStr">
        <is>
          <t>RA3</t>
        </is>
      </c>
      <c r="D36" t="inlineStr">
        <is>
          <t>RA3.d</t>
        </is>
      </c>
      <c r="E36" t="inlineStr">
        <is>
          <t>Evalúa cómo la convergencia tecnológica aporta seguridad en los negocios.</t>
        </is>
      </c>
      <c r="F36">
        <f>IF(A36="","",IFERROR(AVERAGEIFS(Registro_CE!$L:$L,Registro_CE!$A:$A,A36,Registro_CE!$F:$F,D36),""))</f>
      </c>
      <c r="G36">
        <f>IF(A36="","",IFERROR(SUMIFS(Registro_CE!$N:$N,Registro_CE!$A:$A,A36,Registro_CE!$F:$F,D36),""))</f>
      </c>
      <c r="H36">
        <f>IF(A36="","",COUNTIFS(Registro_CE!$A:$A,A36,Registro_CE!$F:$F,D36))</f>
      </c>
      <c r="I36">
        <f>IF(A36="","",COUNTIFS(Registro_CE!$A:$A,A36,Registro_CE!$F:$F,D36,Registro_CE!$J:$J,"&lt;&gt;Corregida",Registro_CE!$C:$C,"&lt;&gt;"))</f>
      </c>
    </row>
    <row r="37">
      <c r="A37"/>
      <c r="B37"/>
      <c r="C37" t="inlineStr">
        <is>
          <t>RA3</t>
        </is>
      </c>
      <c r="D37" t="inlineStr">
        <is>
          <t>RA3.e</t>
        </is>
      </c>
      <c r="E37" t="inlineStr">
        <is>
          <t>Evalúa la mejora en la toma de decisiones estratégicas en un negocio conectado.</t>
        </is>
      </c>
      <c r="F37">
        <f>IF(A37="","",IFERROR(AVERAGEIFS(Registro_CE!$L:$L,Registro_CE!$A:$A,A37,Registro_CE!$F:$F,D37),""))</f>
      </c>
      <c r="G37">
        <f>IF(A37="","",IFERROR(SUMIFS(Registro_CE!$N:$N,Registro_CE!$A:$A,A37,Registro_CE!$F:$F,D37),""))</f>
      </c>
      <c r="H37">
        <f>IF(A37="","",COUNTIFS(Registro_CE!$A:$A,A37,Registro_CE!$F:$F,D37))</f>
      </c>
      <c r="I37">
        <f>IF(A37="","",COUNTIFS(Registro_CE!$A:$A,A37,Registro_CE!$F:$F,D37,Registro_CE!$J:$J,"&lt;&gt;Corregida",Registro_CE!$C:$C,"&lt;&gt;"))</f>
      </c>
    </row>
    <row r="38">
      <c r="A38"/>
      <c r="B38"/>
      <c r="C38" t="inlineStr">
        <is>
          <t>RA4</t>
        </is>
      </c>
      <c r="D38" t="inlineStr">
        <is>
          <t>RA4.a</t>
        </is>
      </c>
      <c r="E38" t="inlineStr">
        <is>
          <t>Identifica estrategias corporativas y modelos de negocio.</t>
        </is>
      </c>
      <c r="F38">
        <f>IF(A38="","",IFERROR(AVERAGEIFS(Registro_CE!$L:$L,Registro_CE!$A:$A,A38,Registro_CE!$F:$F,D38),""))</f>
      </c>
      <c r="G38">
        <f>IF(A38="","",IFERROR(SUMIFS(Registro_CE!$N:$N,Registro_CE!$A:$A,A38,Registro_CE!$F:$F,D38),""))</f>
      </c>
      <c r="H38">
        <f>IF(A38="","",COUNTIFS(Registro_CE!$A:$A,A38,Registro_CE!$F:$F,D38))</f>
      </c>
      <c r="I38">
        <f>IF(A38="","",COUNTIFS(Registro_CE!$A:$A,A38,Registro_CE!$F:$F,D38,Registro_CE!$J:$J,"&lt;&gt;Corregida",Registro_CE!$C:$C,"&lt;&gt;"))</f>
      </c>
    </row>
    <row r="39">
      <c r="A39"/>
      <c r="B39"/>
      <c r="C39" t="inlineStr">
        <is>
          <t>RA4</t>
        </is>
      </c>
      <c r="D39" t="inlineStr">
        <is>
          <t>RA4.b</t>
        </is>
      </c>
      <c r="E39" t="inlineStr">
        <is>
          <t>Define relación empresa-cliente y gestión de activos/recursos.</t>
        </is>
      </c>
      <c r="F39">
        <f>IF(A39="","",IFERROR(AVERAGEIFS(Registro_CE!$L:$L,Registro_CE!$A:$A,A39,Registro_CE!$F:$F,D39),""))</f>
      </c>
      <c r="G39">
        <f>IF(A39="","",IFERROR(SUMIFS(Registro_CE!$N:$N,Registro_CE!$A:$A,A39,Registro_CE!$F:$F,D39),""))</f>
      </c>
      <c r="H39">
        <f>IF(A39="","",COUNTIFS(Registro_CE!$A:$A,A39,Registro_CE!$F:$F,D39))</f>
      </c>
      <c r="I39">
        <f>IF(A39="","",COUNTIFS(Registro_CE!$A:$A,A39,Registro_CE!$F:$F,D39,Registro_CE!$J:$J,"&lt;&gt;Corregida",Registro_CE!$C:$C,"&lt;&gt;"))</f>
      </c>
    </row>
    <row r="40">
      <c r="A40"/>
      <c r="B40"/>
      <c r="C40" t="inlineStr">
        <is>
          <t>RA4</t>
        </is>
      </c>
      <c r="D40" t="inlineStr">
        <is>
          <t>RA4.c</t>
        </is>
      </c>
      <c r="E40" t="inlineStr">
        <is>
          <t>Evalúa modelos de automatización para requerimientos industriales y de negocio.</t>
        </is>
      </c>
      <c r="F40">
        <f>IF(A40="","",IFERROR(AVERAGEIFS(Registro_CE!$L:$L,Registro_CE!$A:$A,A40,Registro_CE!$F:$F,D40),""))</f>
      </c>
      <c r="G40">
        <f>IF(A40="","",IFERROR(SUMIFS(Registro_CE!$N:$N,Registro_CE!$A:$A,A40,Registro_CE!$F:$F,D40),""))</f>
      </c>
      <c r="H40">
        <f>IF(A40="","",COUNTIFS(Registro_CE!$A:$A,A40,Registro_CE!$F:$F,D40))</f>
      </c>
      <c r="I40">
        <f>IF(A40="","",COUNTIFS(Registro_CE!$A:$A,A40,Registro_CE!$F:$F,D40,Registro_CE!$J:$J,"&lt;&gt;Corregida",Registro_CE!$C:$C,"&lt;&gt;"))</f>
      </c>
    </row>
    <row r="41">
      <c r="A41"/>
      <c r="B41"/>
      <c r="C41" t="inlineStr">
        <is>
          <t>RA4</t>
        </is>
      </c>
      <c r="D41" t="inlineStr">
        <is>
          <t>RA4.d</t>
        </is>
      </c>
      <c r="E41" t="inlineStr">
        <is>
          <t>Evalúa la conveniencia de cada modelo para conseguir resultados esperados.</t>
        </is>
      </c>
      <c r="F41">
        <f>IF(A41="","",IFERROR(AVERAGEIFS(Registro_CE!$L:$L,Registro_CE!$A:$A,A41,Registro_CE!$F:$F,D41),""))</f>
      </c>
      <c r="G41">
        <f>IF(A41="","",IFERROR(SUMIFS(Registro_CE!$N:$N,Registro_CE!$A:$A,A41,Registro_CE!$F:$F,D41),""))</f>
      </c>
      <c r="H41">
        <f>IF(A41="","",COUNTIFS(Registro_CE!$A:$A,A41,Registro_CE!$F:$F,D41))</f>
      </c>
      <c r="I41">
        <f>IF(A41="","",COUNTIFS(Registro_CE!$A:$A,A41,Registro_CE!$F:$F,D41,Registro_CE!$J:$J,"&lt;&gt;Corregida",Registro_CE!$C:$C,"&lt;&gt;"))</f>
      </c>
    </row>
    <row r="42">
      <c r="A42"/>
      <c r="B42"/>
      <c r="C42" t="inlineStr">
        <is>
          <t>RA1</t>
        </is>
      </c>
      <c r="D42" t="inlineStr">
        <is>
          <t>RA1.a</t>
        </is>
      </c>
      <c r="E42" t="inlineStr">
        <is>
          <t>Identifica la estructura de un programa informático.</t>
        </is>
      </c>
      <c r="F42">
        <f>IF(A42="","",IFERROR(AVERAGEIFS(Registro_CE!$L:$L,Registro_CE!$A:$A,A42,Registro_CE!$F:$F,D42),""))</f>
      </c>
      <c r="G42">
        <f>IF(A42="","",IFERROR(SUMIFS(Registro_CE!$N:$N,Registro_CE!$A:$A,A42,Registro_CE!$F:$F,D42),""))</f>
      </c>
      <c r="H42">
        <f>IF(A42="","",COUNTIFS(Registro_CE!$A:$A,A42,Registro_CE!$F:$F,D42))</f>
      </c>
      <c r="I42">
        <f>IF(A42="","",COUNTIFS(Registro_CE!$A:$A,A42,Registro_CE!$F:$F,D42,Registro_CE!$J:$J,"&lt;&gt;Corregida",Registro_CE!$C:$C,"&lt;&gt;"))</f>
      </c>
    </row>
    <row r="43">
      <c r="A43"/>
      <c r="B43"/>
      <c r="C43" t="inlineStr">
        <is>
          <t>RA1</t>
        </is>
      </c>
      <c r="D43" t="inlineStr">
        <is>
          <t>RA1.b</t>
        </is>
      </c>
      <c r="E43" t="inlineStr">
        <is>
          <t>Valora características de lenguajes según el tipo de aplicación.</t>
        </is>
      </c>
      <c r="F43">
        <f>IF(A43="","",IFERROR(AVERAGEIFS(Registro_CE!$L:$L,Registro_CE!$A:$A,A43,Registro_CE!$F:$F,D43),""))</f>
      </c>
      <c r="G43">
        <f>IF(A43="","",IFERROR(SUMIFS(Registro_CE!$N:$N,Registro_CE!$A:$A,A43,Registro_CE!$F:$F,D43),""))</f>
      </c>
      <c r="H43">
        <f>IF(A43="","",COUNTIFS(Registro_CE!$A:$A,A43,Registro_CE!$F:$F,D43))</f>
      </c>
      <c r="I43">
        <f>IF(A43="","",COUNTIFS(Registro_CE!$A:$A,A43,Registro_CE!$F:$F,D43,Registro_CE!$J:$J,"&lt;&gt;Corregida",Registro_CE!$C:$C,"&lt;&gt;"))</f>
      </c>
    </row>
    <row r="44">
      <c r="A44"/>
      <c r="B44"/>
      <c r="C44" t="inlineStr">
        <is>
          <t>RA1</t>
        </is>
      </c>
      <c r="D44" t="inlineStr">
        <is>
          <t>RA1.c</t>
        </is>
      </c>
      <c r="E44" t="inlineStr">
        <is>
          <t>Determina el lenguaje más apropiado para la aplicación.</t>
        </is>
      </c>
      <c r="F44">
        <f>IF(A44="","",IFERROR(AVERAGEIFS(Registro_CE!$L:$L,Registro_CE!$A:$A,A44,Registro_CE!$F:$F,D44),""))</f>
      </c>
      <c r="G44">
        <f>IF(A44="","",IFERROR(SUMIFS(Registro_CE!$N:$N,Registro_CE!$A:$A,A44,Registro_CE!$F:$F,D44),""))</f>
      </c>
      <c r="H44">
        <f>IF(A44="","",COUNTIFS(Registro_CE!$A:$A,A44,Registro_CE!$F:$F,D44))</f>
      </c>
      <c r="I44">
        <f>IF(A44="","",COUNTIFS(Registro_CE!$A:$A,A44,Registro_CE!$F:$F,D44,Registro_CE!$J:$J,"&lt;&gt;Corregida",Registro_CE!$C:$C,"&lt;&gt;"))</f>
      </c>
    </row>
    <row r="45">
      <c r="A45"/>
      <c r="B45"/>
      <c r="C45" t="inlineStr">
        <is>
          <t>RA1</t>
        </is>
      </c>
      <c r="D45" t="inlineStr">
        <is>
          <t>RA1.d</t>
        </is>
      </c>
      <c r="E45" t="inlineStr">
        <is>
          <t>Valora características de lenguajes para IA.</t>
        </is>
      </c>
      <c r="F45">
        <f>IF(A45="","",IFERROR(AVERAGEIFS(Registro_CE!$L:$L,Registro_CE!$A:$A,A45,Registro_CE!$F:$F,D45),""))</f>
      </c>
      <c r="G45">
        <f>IF(A45="","",IFERROR(SUMIFS(Registro_CE!$N:$N,Registro_CE!$A:$A,A45,Registro_CE!$F:$F,D45),""))</f>
      </c>
      <c r="H45">
        <f>IF(A45="","",COUNTIFS(Registro_CE!$A:$A,A45,Registro_CE!$F:$F,D45))</f>
      </c>
      <c r="I45">
        <f>IF(A45="","",COUNTIFS(Registro_CE!$A:$A,A45,Registro_CE!$F:$F,D45,Registro_CE!$J:$J,"&lt;&gt;Corregida",Registro_CE!$C:$C,"&lt;&gt;"))</f>
      </c>
    </row>
    <row r="46">
      <c r="A46"/>
      <c r="B46"/>
      <c r="C46" t="inlineStr">
        <is>
          <t>RA1</t>
        </is>
      </c>
      <c r="D46" t="inlineStr">
        <is>
          <t>RA1.e</t>
        </is>
      </c>
      <c r="E46" t="inlineStr">
        <is>
          <t>Determina el lenguaje más apropiado para una aplicación de IA.</t>
        </is>
      </c>
      <c r="F46">
        <f>IF(A46="","",IFERROR(AVERAGEIFS(Registro_CE!$L:$L,Registro_CE!$A:$A,A46,Registro_CE!$F:$F,D46),""))</f>
      </c>
      <c r="G46">
        <f>IF(A46="","",IFERROR(SUMIFS(Registro_CE!$N:$N,Registro_CE!$A:$A,A46,Registro_CE!$F:$F,D46),""))</f>
      </c>
      <c r="H46">
        <f>IF(A46="","",COUNTIFS(Registro_CE!$A:$A,A46,Registro_CE!$F:$F,D46))</f>
      </c>
      <c r="I46">
        <f>IF(A46="","",COUNTIFS(Registro_CE!$A:$A,A46,Registro_CE!$F:$F,D46,Registro_CE!$J:$J,"&lt;&gt;Corregida",Registro_CE!$C:$C,"&lt;&gt;"))</f>
      </c>
    </row>
    <row r="47">
      <c r="A47"/>
      <c r="B47"/>
      <c r="C47" t="inlineStr">
        <is>
          <t>RA1</t>
        </is>
      </c>
      <c r="D47" t="inlineStr">
        <is>
          <t>RA1.f</t>
        </is>
      </c>
      <c r="E47" t="inlineStr">
        <is>
          <t>Caracteriza lenguajes de marcado y la información de sus etiquetas.</t>
        </is>
      </c>
      <c r="F47">
        <f>IF(A47="","",IFERROR(AVERAGEIFS(Registro_CE!$L:$L,Registro_CE!$A:$A,A47,Registro_CE!$F:$F,D47),""))</f>
      </c>
      <c r="G47">
        <f>IF(A47="","",IFERROR(SUMIFS(Registro_CE!$N:$N,Registro_CE!$A:$A,A47,Registro_CE!$F:$F,D47),""))</f>
      </c>
      <c r="H47">
        <f>IF(A47="","",COUNTIFS(Registro_CE!$A:$A,A47,Registro_CE!$F:$F,D47))</f>
      </c>
      <c r="I47">
        <f>IF(A47="","",COUNTIFS(Registro_CE!$A:$A,A47,Registro_CE!$F:$F,D47,Registro_CE!$J:$J,"&lt;&gt;Corregida",Registro_CE!$C:$C,"&lt;&gt;"))</f>
      </c>
    </row>
    <row r="48">
      <c r="A48"/>
      <c r="B48"/>
      <c r="C48" t="inlineStr">
        <is>
          <t>RA2</t>
        </is>
      </c>
      <c r="D48" t="inlineStr">
        <is>
          <t>RA2.a</t>
        </is>
      </c>
      <c r="E48" t="inlineStr">
        <is>
          <t>Evalúa plataformas de Inteligencia Artificial.</t>
        </is>
      </c>
      <c r="F48">
        <f>IF(A48="","",IFERROR(AVERAGEIFS(Registro_CE!$L:$L,Registro_CE!$A:$A,A48,Registro_CE!$F:$F,D48),""))</f>
      </c>
      <c r="G48">
        <f>IF(A48="","",IFERROR(SUMIFS(Registro_CE!$N:$N,Registro_CE!$A:$A,A48,Registro_CE!$F:$F,D48),""))</f>
      </c>
      <c r="H48">
        <f>IF(A48="","",COUNTIFS(Registro_CE!$A:$A,A48,Registro_CE!$F:$F,D48))</f>
      </c>
      <c r="I48">
        <f>IF(A48="","",COUNTIFS(Registro_CE!$A:$A,A48,Registro_CE!$F:$F,D48,Registro_CE!$J:$J,"&lt;&gt;Corregida",Registro_CE!$C:$C,"&lt;&gt;"))</f>
      </c>
    </row>
    <row r="49">
      <c r="A49"/>
      <c r="B49"/>
      <c r="C49" t="inlineStr">
        <is>
          <t>RA2</t>
        </is>
      </c>
      <c r="D49" t="inlineStr">
        <is>
          <t>RA2.b</t>
        </is>
      </c>
      <c r="E49" t="inlineStr">
        <is>
          <t>Caracteriza entornos de modelado de aplicaciones de IA.</t>
        </is>
      </c>
      <c r="F49">
        <f>IF(A49="","",IFERROR(AVERAGEIFS(Registro_CE!$L:$L,Registro_CE!$A:$A,A49,Registro_CE!$F:$F,D49),""))</f>
      </c>
      <c r="G49">
        <f>IF(A49="","",IFERROR(SUMIFS(Registro_CE!$N:$N,Registro_CE!$A:$A,A49,Registro_CE!$F:$F,D49),""))</f>
      </c>
      <c r="H49">
        <f>IF(A49="","",COUNTIFS(Registro_CE!$A:$A,A49,Registro_CE!$F:$F,D49))</f>
      </c>
      <c r="I49">
        <f>IF(A49="","",COUNTIFS(Registro_CE!$A:$A,A49,Registro_CE!$F:$F,D49,Registro_CE!$J:$J,"&lt;&gt;Corregida",Registro_CE!$C:$C,"&lt;&gt;"))</f>
      </c>
    </row>
    <row r="50">
      <c r="A50"/>
      <c r="B50"/>
      <c r="C50" t="inlineStr">
        <is>
          <t>RA2</t>
        </is>
      </c>
      <c r="D50" t="inlineStr">
        <is>
          <t>RA2.c</t>
        </is>
      </c>
      <c r="E50" t="inlineStr">
        <is>
          <t>Define el modelo según el problema planteado.</t>
        </is>
      </c>
      <c r="F50">
        <f>IF(A50="","",IFERROR(AVERAGEIFS(Registro_CE!$L:$L,Registro_CE!$A:$A,A50,Registro_CE!$F:$F,D50),""))</f>
      </c>
      <c r="G50">
        <f>IF(A50="","",IFERROR(SUMIFS(Registro_CE!$N:$N,Registro_CE!$A:$A,A50,Registro_CE!$F:$F,D50),""))</f>
      </c>
      <c r="H50">
        <f>IF(A50="","",COUNTIFS(Registro_CE!$A:$A,A50,Registro_CE!$F:$F,D50))</f>
      </c>
      <c r="I50">
        <f>IF(A50="","",COUNTIFS(Registro_CE!$A:$A,A50,Registro_CE!$F:$F,D50,Registro_CE!$J:$J,"&lt;&gt;Corregida",Registro_CE!$C:$C,"&lt;&gt;"))</f>
      </c>
    </row>
    <row r="51">
      <c r="A51"/>
      <c r="B51"/>
      <c r="C51" t="inlineStr">
        <is>
          <t>RA2</t>
        </is>
      </c>
      <c r="D51" t="inlineStr">
        <is>
          <t>RA2.d</t>
        </is>
      </c>
      <c r="E51" t="inlineStr">
        <is>
          <t>Implementa la aplicación de Inteligencia Artificial.</t>
        </is>
      </c>
      <c r="F51">
        <f>IF(A51="","",IFERROR(AVERAGEIFS(Registro_CE!$L:$L,Registro_CE!$A:$A,A51,Registro_CE!$F:$F,D51),""))</f>
      </c>
      <c r="G51">
        <f>IF(A51="","",IFERROR(SUMIFS(Registro_CE!$N:$N,Registro_CE!$A:$A,A51,Registro_CE!$F:$F,D51),""))</f>
      </c>
      <c r="H51">
        <f>IF(A51="","",COUNTIFS(Registro_CE!$A:$A,A51,Registro_CE!$F:$F,D51))</f>
      </c>
      <c r="I51">
        <f>IF(A51="","",COUNTIFS(Registro_CE!$A:$A,A51,Registro_CE!$F:$F,D51,Registro_CE!$J:$J,"&lt;&gt;Corregida",Registro_CE!$C:$C,"&lt;&gt;"))</f>
      </c>
    </row>
    <row r="52">
      <c r="A52"/>
      <c r="B52"/>
      <c r="C52" t="inlineStr">
        <is>
          <t>RA2</t>
        </is>
      </c>
      <c r="D52" t="inlineStr">
        <is>
          <t>RA2.e</t>
        </is>
      </c>
      <c r="E52" t="inlineStr">
        <is>
          <t>Evalúa los resultados obtenidos.</t>
        </is>
      </c>
      <c r="F52">
        <f>IF(A52="","",IFERROR(AVERAGEIFS(Registro_CE!$L:$L,Registro_CE!$A:$A,A52,Registro_CE!$F:$F,D52),""))</f>
      </c>
      <c r="G52">
        <f>IF(A52="","",IFERROR(SUMIFS(Registro_CE!$N:$N,Registro_CE!$A:$A,A52,Registro_CE!$F:$F,D52),""))</f>
      </c>
      <c r="H52">
        <f>IF(A52="","",COUNTIFS(Registro_CE!$A:$A,A52,Registro_CE!$F:$F,D52))</f>
      </c>
      <c r="I52">
        <f>IF(A52="","",COUNTIFS(Registro_CE!$A:$A,A52,Registro_CE!$F:$F,D52,Registro_CE!$J:$J,"&lt;&gt;Corregida",Registro_CE!$C:$C,"&lt;&gt;"))</f>
      </c>
    </row>
    <row r="53">
      <c r="A53"/>
      <c r="B53"/>
      <c r="C53" t="inlineStr">
        <is>
          <t>RA3</t>
        </is>
      </c>
      <c r="D53" t="inlineStr">
        <is>
          <t>RA3.a</t>
        </is>
      </c>
      <c r="E53" t="inlineStr">
        <is>
          <t>Identifica ventajas de unificar procesos, servicios, herramientas, métodos y sectores.</t>
        </is>
      </c>
      <c r="F53">
        <f>IF(A53="","",IFERROR(AVERAGEIFS(Registro_CE!$L:$L,Registro_CE!$A:$A,A53,Registro_CE!$F:$F,D53),""))</f>
      </c>
      <c r="G53">
        <f>IF(A53="","",IFERROR(SUMIFS(Registro_CE!$N:$N,Registro_CE!$A:$A,A53,Registro_CE!$F:$F,D53),""))</f>
      </c>
      <c r="H53">
        <f>IF(A53="","",COUNTIFS(Registro_CE!$A:$A,A53,Registro_CE!$F:$F,D53))</f>
      </c>
      <c r="I53">
        <f>IF(A53="","",COUNTIFS(Registro_CE!$A:$A,A53,Registro_CE!$F:$F,D53,Registro_CE!$J:$J,"&lt;&gt;Corregida",Registro_CE!$C:$C,"&lt;&gt;"))</f>
      </c>
    </row>
    <row r="54">
      <c r="A54"/>
      <c r="B54"/>
      <c r="C54" t="inlineStr">
        <is>
          <t>RA3</t>
        </is>
      </c>
      <c r="D54" t="inlineStr">
        <is>
          <t>RA3.b</t>
        </is>
      </c>
      <c r="E54" t="inlineStr">
        <is>
          <t>Identifica sistemas que facilitan la conexión tecnológica.</t>
        </is>
      </c>
      <c r="F54">
        <f>IF(A54="","",IFERROR(AVERAGEIFS(Registro_CE!$L:$L,Registro_CE!$A:$A,A54,Registro_CE!$F:$F,D54),""))</f>
      </c>
      <c r="G54">
        <f>IF(A54="","",IFERROR(SUMIFS(Registro_CE!$N:$N,Registro_CE!$A:$A,A54,Registro_CE!$F:$F,D54),""))</f>
      </c>
      <c r="H54">
        <f>IF(A54="","",COUNTIFS(Registro_CE!$A:$A,A54,Registro_CE!$F:$F,D54))</f>
      </c>
      <c r="I54">
        <f>IF(A54="","",COUNTIFS(Registro_CE!$A:$A,A54,Registro_CE!$F:$F,D54,Registro_CE!$J:$J,"&lt;&gt;Corregida",Registro_CE!$C:$C,"&lt;&gt;"))</f>
      </c>
    </row>
    <row r="55">
      <c r="A55"/>
      <c r="B55"/>
      <c r="C55" t="inlineStr">
        <is>
          <t>RA3</t>
        </is>
      </c>
      <c r="D55" t="inlineStr">
        <is>
          <t>RA3.c</t>
        </is>
      </c>
      <c r="E55" t="inlineStr">
        <is>
          <t>Evalúa características de dichos sistemas.</t>
        </is>
      </c>
      <c r="F55">
        <f>IF(A55="","",IFERROR(AVERAGEIFS(Registro_CE!$L:$L,Registro_CE!$A:$A,A55,Registro_CE!$F:$F,D55),""))</f>
      </c>
      <c r="G55">
        <f>IF(A55="","",IFERROR(SUMIFS(Registro_CE!$N:$N,Registro_CE!$A:$A,A55,Registro_CE!$F:$F,D55),""))</f>
      </c>
      <c r="H55">
        <f>IF(A55="","",COUNTIFS(Registro_CE!$A:$A,A55,Registro_CE!$F:$F,D55))</f>
      </c>
      <c r="I55">
        <f>IF(A55="","",COUNTIFS(Registro_CE!$A:$A,A55,Registro_CE!$F:$F,D55,Registro_CE!$J:$J,"&lt;&gt;Corregida",Registro_CE!$C:$C,"&lt;&gt;"))</f>
      </c>
    </row>
    <row r="56">
      <c r="A56"/>
      <c r="B56"/>
      <c r="C56" t="inlineStr">
        <is>
          <t>RA3</t>
        </is>
      </c>
      <c r="D56" t="inlineStr">
        <is>
          <t>RA3.d</t>
        </is>
      </c>
      <c r="E56" t="inlineStr">
        <is>
          <t>Evalúa cómo la convergencia tecnológica aporta seguridad en los negocios.</t>
        </is>
      </c>
      <c r="F56">
        <f>IF(A56="","",IFERROR(AVERAGEIFS(Registro_CE!$L:$L,Registro_CE!$A:$A,A56,Registro_CE!$F:$F,D56),""))</f>
      </c>
      <c r="G56">
        <f>IF(A56="","",IFERROR(SUMIFS(Registro_CE!$N:$N,Registro_CE!$A:$A,A56,Registro_CE!$F:$F,D56),""))</f>
      </c>
      <c r="H56">
        <f>IF(A56="","",COUNTIFS(Registro_CE!$A:$A,A56,Registro_CE!$F:$F,D56))</f>
      </c>
      <c r="I56">
        <f>IF(A56="","",COUNTIFS(Registro_CE!$A:$A,A56,Registro_CE!$F:$F,D56,Registro_CE!$J:$J,"&lt;&gt;Corregida",Registro_CE!$C:$C,"&lt;&gt;"))</f>
      </c>
    </row>
    <row r="57">
      <c r="A57"/>
      <c r="B57"/>
      <c r="C57" t="inlineStr">
        <is>
          <t>RA3</t>
        </is>
      </c>
      <c r="D57" t="inlineStr">
        <is>
          <t>RA3.e</t>
        </is>
      </c>
      <c r="E57" t="inlineStr">
        <is>
          <t>Evalúa la mejora en la toma de decisiones estratégicas en un negocio conectado.</t>
        </is>
      </c>
      <c r="F57">
        <f>IF(A57="","",IFERROR(AVERAGEIFS(Registro_CE!$L:$L,Registro_CE!$A:$A,A57,Registro_CE!$F:$F,D57),""))</f>
      </c>
      <c r="G57">
        <f>IF(A57="","",IFERROR(SUMIFS(Registro_CE!$N:$N,Registro_CE!$A:$A,A57,Registro_CE!$F:$F,D57),""))</f>
      </c>
      <c r="H57">
        <f>IF(A57="","",COUNTIFS(Registro_CE!$A:$A,A57,Registro_CE!$F:$F,D57))</f>
      </c>
      <c r="I57">
        <f>IF(A57="","",COUNTIFS(Registro_CE!$A:$A,A57,Registro_CE!$F:$F,D57,Registro_CE!$J:$J,"&lt;&gt;Corregida",Registro_CE!$C:$C,"&lt;&gt;"))</f>
      </c>
    </row>
    <row r="58">
      <c r="A58"/>
      <c r="B58"/>
      <c r="C58" t="inlineStr">
        <is>
          <t>RA4</t>
        </is>
      </c>
      <c r="D58" t="inlineStr">
        <is>
          <t>RA4.a</t>
        </is>
      </c>
      <c r="E58" t="inlineStr">
        <is>
          <t>Identifica estrategias corporativas y modelos de negocio.</t>
        </is>
      </c>
      <c r="F58">
        <f>IF(A58="","",IFERROR(AVERAGEIFS(Registro_CE!$L:$L,Registro_CE!$A:$A,A58,Registro_CE!$F:$F,D58),""))</f>
      </c>
      <c r="G58">
        <f>IF(A58="","",IFERROR(SUMIFS(Registro_CE!$N:$N,Registro_CE!$A:$A,A58,Registro_CE!$F:$F,D58),""))</f>
      </c>
      <c r="H58">
        <f>IF(A58="","",COUNTIFS(Registro_CE!$A:$A,A58,Registro_CE!$F:$F,D58))</f>
      </c>
      <c r="I58">
        <f>IF(A58="","",COUNTIFS(Registro_CE!$A:$A,A58,Registro_CE!$F:$F,D58,Registro_CE!$J:$J,"&lt;&gt;Corregida",Registro_CE!$C:$C,"&lt;&gt;"))</f>
      </c>
    </row>
    <row r="59">
      <c r="A59"/>
      <c r="B59"/>
      <c r="C59" t="inlineStr">
        <is>
          <t>RA4</t>
        </is>
      </c>
      <c r="D59" t="inlineStr">
        <is>
          <t>RA4.b</t>
        </is>
      </c>
      <c r="E59" t="inlineStr">
        <is>
          <t>Define relación empresa-cliente y gestión de activos/recursos.</t>
        </is>
      </c>
      <c r="F59">
        <f>IF(A59="","",IFERROR(AVERAGEIFS(Registro_CE!$L:$L,Registro_CE!$A:$A,A59,Registro_CE!$F:$F,D59),""))</f>
      </c>
      <c r="G59">
        <f>IF(A59="","",IFERROR(SUMIFS(Registro_CE!$N:$N,Registro_CE!$A:$A,A59,Registro_CE!$F:$F,D59),""))</f>
      </c>
      <c r="H59">
        <f>IF(A59="","",COUNTIFS(Registro_CE!$A:$A,A59,Registro_CE!$F:$F,D59))</f>
      </c>
      <c r="I59">
        <f>IF(A59="","",COUNTIFS(Registro_CE!$A:$A,A59,Registro_CE!$F:$F,D59,Registro_CE!$J:$J,"&lt;&gt;Corregida",Registro_CE!$C:$C,"&lt;&gt;"))</f>
      </c>
    </row>
    <row r="60">
      <c r="A60"/>
      <c r="B60"/>
      <c r="C60" t="inlineStr">
        <is>
          <t>RA4</t>
        </is>
      </c>
      <c r="D60" t="inlineStr">
        <is>
          <t>RA4.c</t>
        </is>
      </c>
      <c r="E60" t="inlineStr">
        <is>
          <t>Evalúa modelos de automatización para requerimientos industriales y de negocio.</t>
        </is>
      </c>
      <c r="F60">
        <f>IF(A60="","",IFERROR(AVERAGEIFS(Registro_CE!$L:$L,Registro_CE!$A:$A,A60,Registro_CE!$F:$F,D60),""))</f>
      </c>
      <c r="G60">
        <f>IF(A60="","",IFERROR(SUMIFS(Registro_CE!$N:$N,Registro_CE!$A:$A,A60,Registro_CE!$F:$F,D60),""))</f>
      </c>
      <c r="H60">
        <f>IF(A60="","",COUNTIFS(Registro_CE!$A:$A,A60,Registro_CE!$F:$F,D60))</f>
      </c>
      <c r="I60">
        <f>IF(A60="","",COUNTIFS(Registro_CE!$A:$A,A60,Registro_CE!$F:$F,D60,Registro_CE!$J:$J,"&lt;&gt;Corregida",Registro_CE!$C:$C,"&lt;&gt;"))</f>
      </c>
    </row>
    <row r="61">
      <c r="A61"/>
      <c r="B61"/>
      <c r="C61" t="inlineStr">
        <is>
          <t>RA4</t>
        </is>
      </c>
      <c r="D61" t="inlineStr">
        <is>
          <t>RA4.d</t>
        </is>
      </c>
      <c r="E61" t="inlineStr">
        <is>
          <t>Evalúa la conveniencia de cada modelo para conseguir resultados esperados.</t>
        </is>
      </c>
      <c r="F61">
        <f>IF(A61="","",IFERROR(AVERAGEIFS(Registro_CE!$L:$L,Registro_CE!$A:$A,A61,Registro_CE!$F:$F,D61),""))</f>
      </c>
      <c r="G61">
        <f>IF(A61="","",IFERROR(SUMIFS(Registro_CE!$N:$N,Registro_CE!$A:$A,A61,Registro_CE!$F:$F,D61),""))</f>
      </c>
      <c r="H61">
        <f>IF(A61="","",COUNTIFS(Registro_CE!$A:$A,A61,Registro_CE!$F:$F,D61))</f>
      </c>
      <c r="I61">
        <f>IF(A61="","",COUNTIFS(Registro_CE!$A:$A,A61,Registro_CE!$F:$F,D61,Registro_CE!$J:$J,"&lt;&gt;Corregida",Registro_CE!$C:$C,"&lt;&gt;"))</f>
      </c>
    </row>
    <row r="62">
      <c r="A62"/>
      <c r="B62"/>
      <c r="C62" t="inlineStr">
        <is>
          <t>RA1</t>
        </is>
      </c>
      <c r="D62" t="inlineStr">
        <is>
          <t>RA1.a</t>
        </is>
      </c>
      <c r="E62" t="inlineStr">
        <is>
          <t>Identifica la estructura de un programa informático.</t>
        </is>
      </c>
      <c r="F62">
        <f>IF(A62="","",IFERROR(AVERAGEIFS(Registro_CE!$L:$L,Registro_CE!$A:$A,A62,Registro_CE!$F:$F,D62),""))</f>
      </c>
      <c r="G62">
        <f>IF(A62="","",IFERROR(SUMIFS(Registro_CE!$N:$N,Registro_CE!$A:$A,A62,Registro_CE!$F:$F,D62),""))</f>
      </c>
      <c r="H62">
        <f>IF(A62="","",COUNTIFS(Registro_CE!$A:$A,A62,Registro_CE!$F:$F,D62))</f>
      </c>
      <c r="I62">
        <f>IF(A62="","",COUNTIFS(Registro_CE!$A:$A,A62,Registro_CE!$F:$F,D62,Registro_CE!$J:$J,"&lt;&gt;Corregida",Registro_CE!$C:$C,"&lt;&gt;"))</f>
      </c>
    </row>
    <row r="63">
      <c r="A63"/>
      <c r="B63"/>
      <c r="C63" t="inlineStr">
        <is>
          <t>RA1</t>
        </is>
      </c>
      <c r="D63" t="inlineStr">
        <is>
          <t>RA1.b</t>
        </is>
      </c>
      <c r="E63" t="inlineStr">
        <is>
          <t>Valora características de lenguajes según el tipo de aplicación.</t>
        </is>
      </c>
      <c r="F63">
        <f>IF(A63="","",IFERROR(AVERAGEIFS(Registro_CE!$L:$L,Registro_CE!$A:$A,A63,Registro_CE!$F:$F,D63),""))</f>
      </c>
      <c r="G63">
        <f>IF(A63="","",IFERROR(SUMIFS(Registro_CE!$N:$N,Registro_CE!$A:$A,A63,Registro_CE!$F:$F,D63),""))</f>
      </c>
      <c r="H63">
        <f>IF(A63="","",COUNTIFS(Registro_CE!$A:$A,A63,Registro_CE!$F:$F,D63))</f>
      </c>
      <c r="I63">
        <f>IF(A63="","",COUNTIFS(Registro_CE!$A:$A,A63,Registro_CE!$F:$F,D63,Registro_CE!$J:$J,"&lt;&gt;Corregida",Registro_CE!$C:$C,"&lt;&gt;"))</f>
      </c>
    </row>
    <row r="64">
      <c r="A64"/>
      <c r="B64"/>
      <c r="C64" t="inlineStr">
        <is>
          <t>RA1</t>
        </is>
      </c>
      <c r="D64" t="inlineStr">
        <is>
          <t>RA1.c</t>
        </is>
      </c>
      <c r="E64" t="inlineStr">
        <is>
          <t>Determina el lenguaje más apropiado para la aplicación.</t>
        </is>
      </c>
      <c r="F64">
        <f>IF(A64="","",IFERROR(AVERAGEIFS(Registro_CE!$L:$L,Registro_CE!$A:$A,A64,Registro_CE!$F:$F,D64),""))</f>
      </c>
      <c r="G64">
        <f>IF(A64="","",IFERROR(SUMIFS(Registro_CE!$N:$N,Registro_CE!$A:$A,A64,Registro_CE!$F:$F,D64),""))</f>
      </c>
      <c r="H64">
        <f>IF(A64="","",COUNTIFS(Registro_CE!$A:$A,A64,Registro_CE!$F:$F,D64))</f>
      </c>
      <c r="I64">
        <f>IF(A64="","",COUNTIFS(Registro_CE!$A:$A,A64,Registro_CE!$F:$F,D64,Registro_CE!$J:$J,"&lt;&gt;Corregida",Registro_CE!$C:$C,"&lt;&gt;"))</f>
      </c>
    </row>
    <row r="65">
      <c r="A65"/>
      <c r="B65"/>
      <c r="C65" t="inlineStr">
        <is>
          <t>RA1</t>
        </is>
      </c>
      <c r="D65" t="inlineStr">
        <is>
          <t>RA1.d</t>
        </is>
      </c>
      <c r="E65" t="inlineStr">
        <is>
          <t>Valora características de lenguajes para IA.</t>
        </is>
      </c>
      <c r="F65">
        <f>IF(A65="","",IFERROR(AVERAGEIFS(Registro_CE!$L:$L,Registro_CE!$A:$A,A65,Registro_CE!$F:$F,D65),""))</f>
      </c>
      <c r="G65">
        <f>IF(A65="","",IFERROR(SUMIFS(Registro_CE!$N:$N,Registro_CE!$A:$A,A65,Registro_CE!$F:$F,D65),""))</f>
      </c>
      <c r="H65">
        <f>IF(A65="","",COUNTIFS(Registro_CE!$A:$A,A65,Registro_CE!$F:$F,D65))</f>
      </c>
      <c r="I65">
        <f>IF(A65="","",COUNTIFS(Registro_CE!$A:$A,A65,Registro_CE!$F:$F,D65,Registro_CE!$J:$J,"&lt;&gt;Corregida",Registro_CE!$C:$C,"&lt;&gt;"))</f>
      </c>
    </row>
    <row r="66">
      <c r="A66"/>
      <c r="B66"/>
      <c r="C66" t="inlineStr">
        <is>
          <t>RA1</t>
        </is>
      </c>
      <c r="D66" t="inlineStr">
        <is>
          <t>RA1.e</t>
        </is>
      </c>
      <c r="E66" t="inlineStr">
        <is>
          <t>Determina el lenguaje más apropiado para una aplicación de IA.</t>
        </is>
      </c>
      <c r="F66">
        <f>IF(A66="","",IFERROR(AVERAGEIFS(Registro_CE!$L:$L,Registro_CE!$A:$A,A66,Registro_CE!$F:$F,D66),""))</f>
      </c>
      <c r="G66">
        <f>IF(A66="","",IFERROR(SUMIFS(Registro_CE!$N:$N,Registro_CE!$A:$A,A66,Registro_CE!$F:$F,D66),""))</f>
      </c>
      <c r="H66">
        <f>IF(A66="","",COUNTIFS(Registro_CE!$A:$A,A66,Registro_CE!$F:$F,D66))</f>
      </c>
      <c r="I66">
        <f>IF(A66="","",COUNTIFS(Registro_CE!$A:$A,A66,Registro_CE!$F:$F,D66,Registro_CE!$J:$J,"&lt;&gt;Corregida",Registro_CE!$C:$C,"&lt;&gt;"))</f>
      </c>
    </row>
    <row r="67">
      <c r="A67"/>
      <c r="B67"/>
      <c r="C67" t="inlineStr">
        <is>
          <t>RA1</t>
        </is>
      </c>
      <c r="D67" t="inlineStr">
        <is>
          <t>RA1.f</t>
        </is>
      </c>
      <c r="E67" t="inlineStr">
        <is>
          <t>Caracteriza lenguajes de marcado y la información de sus etiquetas.</t>
        </is>
      </c>
      <c r="F67">
        <f>IF(A67="","",IFERROR(AVERAGEIFS(Registro_CE!$L:$L,Registro_CE!$A:$A,A67,Registro_CE!$F:$F,D67),""))</f>
      </c>
      <c r="G67">
        <f>IF(A67="","",IFERROR(SUMIFS(Registro_CE!$N:$N,Registro_CE!$A:$A,A67,Registro_CE!$F:$F,D67),""))</f>
      </c>
      <c r="H67">
        <f>IF(A67="","",COUNTIFS(Registro_CE!$A:$A,A67,Registro_CE!$F:$F,D67))</f>
      </c>
      <c r="I67">
        <f>IF(A67="","",COUNTIFS(Registro_CE!$A:$A,A67,Registro_CE!$F:$F,D67,Registro_CE!$J:$J,"&lt;&gt;Corregida",Registro_CE!$C:$C,"&lt;&gt;"))</f>
      </c>
    </row>
    <row r="68">
      <c r="A68"/>
      <c r="B68"/>
      <c r="C68" t="inlineStr">
        <is>
          <t>RA2</t>
        </is>
      </c>
      <c r="D68" t="inlineStr">
        <is>
          <t>RA2.a</t>
        </is>
      </c>
      <c r="E68" t="inlineStr">
        <is>
          <t>Evalúa plataformas de Inteligencia Artificial.</t>
        </is>
      </c>
      <c r="F68">
        <f>IF(A68="","",IFERROR(AVERAGEIFS(Registro_CE!$L:$L,Registro_CE!$A:$A,A68,Registro_CE!$F:$F,D68),""))</f>
      </c>
      <c r="G68">
        <f>IF(A68="","",IFERROR(SUMIFS(Registro_CE!$N:$N,Registro_CE!$A:$A,A68,Registro_CE!$F:$F,D68),""))</f>
      </c>
      <c r="H68">
        <f>IF(A68="","",COUNTIFS(Registro_CE!$A:$A,A68,Registro_CE!$F:$F,D68))</f>
      </c>
      <c r="I68">
        <f>IF(A68="","",COUNTIFS(Registro_CE!$A:$A,A68,Registro_CE!$F:$F,D68,Registro_CE!$J:$J,"&lt;&gt;Corregida",Registro_CE!$C:$C,"&lt;&gt;"))</f>
      </c>
    </row>
    <row r="69">
      <c r="A69"/>
      <c r="B69"/>
      <c r="C69" t="inlineStr">
        <is>
          <t>RA2</t>
        </is>
      </c>
      <c r="D69" t="inlineStr">
        <is>
          <t>RA2.b</t>
        </is>
      </c>
      <c r="E69" t="inlineStr">
        <is>
          <t>Caracteriza entornos de modelado de aplicaciones de IA.</t>
        </is>
      </c>
      <c r="F69">
        <f>IF(A69="","",IFERROR(AVERAGEIFS(Registro_CE!$L:$L,Registro_CE!$A:$A,A69,Registro_CE!$F:$F,D69),""))</f>
      </c>
      <c r="G69">
        <f>IF(A69="","",IFERROR(SUMIFS(Registro_CE!$N:$N,Registro_CE!$A:$A,A69,Registro_CE!$F:$F,D69),""))</f>
      </c>
      <c r="H69">
        <f>IF(A69="","",COUNTIFS(Registro_CE!$A:$A,A69,Registro_CE!$F:$F,D69))</f>
      </c>
      <c r="I69">
        <f>IF(A69="","",COUNTIFS(Registro_CE!$A:$A,A69,Registro_CE!$F:$F,D69,Registro_CE!$J:$J,"&lt;&gt;Corregida",Registro_CE!$C:$C,"&lt;&gt;"))</f>
      </c>
    </row>
    <row r="70">
      <c r="A70"/>
      <c r="B70"/>
      <c r="C70" t="inlineStr">
        <is>
          <t>RA2</t>
        </is>
      </c>
      <c r="D70" t="inlineStr">
        <is>
          <t>RA2.c</t>
        </is>
      </c>
      <c r="E70" t="inlineStr">
        <is>
          <t>Define el modelo según el problema planteado.</t>
        </is>
      </c>
      <c r="F70">
        <f>IF(A70="","",IFERROR(AVERAGEIFS(Registro_CE!$L:$L,Registro_CE!$A:$A,A70,Registro_CE!$F:$F,D70),""))</f>
      </c>
      <c r="G70">
        <f>IF(A70="","",IFERROR(SUMIFS(Registro_CE!$N:$N,Registro_CE!$A:$A,A70,Registro_CE!$F:$F,D70),""))</f>
      </c>
      <c r="H70">
        <f>IF(A70="","",COUNTIFS(Registro_CE!$A:$A,A70,Registro_CE!$F:$F,D70))</f>
      </c>
      <c r="I70">
        <f>IF(A70="","",COUNTIFS(Registro_CE!$A:$A,A70,Registro_CE!$F:$F,D70,Registro_CE!$J:$J,"&lt;&gt;Corregida",Registro_CE!$C:$C,"&lt;&gt;"))</f>
      </c>
    </row>
    <row r="71">
      <c r="A71"/>
      <c r="B71"/>
      <c r="C71" t="inlineStr">
        <is>
          <t>RA2</t>
        </is>
      </c>
      <c r="D71" t="inlineStr">
        <is>
          <t>RA2.d</t>
        </is>
      </c>
      <c r="E71" t="inlineStr">
        <is>
          <t>Implementa la aplicación de Inteligencia Artificial.</t>
        </is>
      </c>
      <c r="F71">
        <f>IF(A71="","",IFERROR(AVERAGEIFS(Registro_CE!$L:$L,Registro_CE!$A:$A,A71,Registro_CE!$F:$F,D71),""))</f>
      </c>
      <c r="G71">
        <f>IF(A71="","",IFERROR(SUMIFS(Registro_CE!$N:$N,Registro_CE!$A:$A,A71,Registro_CE!$F:$F,D71),""))</f>
      </c>
      <c r="H71">
        <f>IF(A71="","",COUNTIFS(Registro_CE!$A:$A,A71,Registro_CE!$F:$F,D71))</f>
      </c>
      <c r="I71">
        <f>IF(A71="","",COUNTIFS(Registro_CE!$A:$A,A71,Registro_CE!$F:$F,D71,Registro_CE!$J:$J,"&lt;&gt;Corregida",Registro_CE!$C:$C,"&lt;&gt;"))</f>
      </c>
    </row>
    <row r="72">
      <c r="A72"/>
      <c r="B72"/>
      <c r="C72" t="inlineStr">
        <is>
          <t>RA2</t>
        </is>
      </c>
      <c r="D72" t="inlineStr">
        <is>
          <t>RA2.e</t>
        </is>
      </c>
      <c r="E72" t="inlineStr">
        <is>
          <t>Evalúa los resultados obtenidos.</t>
        </is>
      </c>
      <c r="F72">
        <f>IF(A72="","",IFERROR(AVERAGEIFS(Registro_CE!$L:$L,Registro_CE!$A:$A,A72,Registro_CE!$F:$F,D72),""))</f>
      </c>
      <c r="G72">
        <f>IF(A72="","",IFERROR(SUMIFS(Registro_CE!$N:$N,Registro_CE!$A:$A,A72,Registro_CE!$F:$F,D72),""))</f>
      </c>
      <c r="H72">
        <f>IF(A72="","",COUNTIFS(Registro_CE!$A:$A,A72,Registro_CE!$F:$F,D72))</f>
      </c>
      <c r="I72">
        <f>IF(A72="","",COUNTIFS(Registro_CE!$A:$A,A72,Registro_CE!$F:$F,D72,Registro_CE!$J:$J,"&lt;&gt;Corregida",Registro_CE!$C:$C,"&lt;&gt;"))</f>
      </c>
    </row>
    <row r="73">
      <c r="A73"/>
      <c r="B73"/>
      <c r="C73" t="inlineStr">
        <is>
          <t>RA3</t>
        </is>
      </c>
      <c r="D73" t="inlineStr">
        <is>
          <t>RA3.a</t>
        </is>
      </c>
      <c r="E73" t="inlineStr">
        <is>
          <t>Identifica ventajas de unificar procesos, servicios, herramientas, métodos y sectores.</t>
        </is>
      </c>
      <c r="F73">
        <f>IF(A73="","",IFERROR(AVERAGEIFS(Registro_CE!$L:$L,Registro_CE!$A:$A,A73,Registro_CE!$F:$F,D73),""))</f>
      </c>
      <c r="G73">
        <f>IF(A73="","",IFERROR(SUMIFS(Registro_CE!$N:$N,Registro_CE!$A:$A,A73,Registro_CE!$F:$F,D73),""))</f>
      </c>
      <c r="H73">
        <f>IF(A73="","",COUNTIFS(Registro_CE!$A:$A,A73,Registro_CE!$F:$F,D73))</f>
      </c>
      <c r="I73">
        <f>IF(A73="","",COUNTIFS(Registro_CE!$A:$A,A73,Registro_CE!$F:$F,D73,Registro_CE!$J:$J,"&lt;&gt;Corregida",Registro_CE!$C:$C,"&lt;&gt;"))</f>
      </c>
    </row>
    <row r="74">
      <c r="A74"/>
      <c r="B74"/>
      <c r="C74" t="inlineStr">
        <is>
          <t>RA3</t>
        </is>
      </c>
      <c r="D74" t="inlineStr">
        <is>
          <t>RA3.b</t>
        </is>
      </c>
      <c r="E74" t="inlineStr">
        <is>
          <t>Identifica sistemas que facilitan la conexión tecnológica.</t>
        </is>
      </c>
      <c r="F74">
        <f>IF(A74="","",IFERROR(AVERAGEIFS(Registro_CE!$L:$L,Registro_CE!$A:$A,A74,Registro_CE!$F:$F,D74),""))</f>
      </c>
      <c r="G74">
        <f>IF(A74="","",IFERROR(SUMIFS(Registro_CE!$N:$N,Registro_CE!$A:$A,A74,Registro_CE!$F:$F,D74),""))</f>
      </c>
      <c r="H74">
        <f>IF(A74="","",COUNTIFS(Registro_CE!$A:$A,A74,Registro_CE!$F:$F,D74))</f>
      </c>
      <c r="I74">
        <f>IF(A74="","",COUNTIFS(Registro_CE!$A:$A,A74,Registro_CE!$F:$F,D74,Registro_CE!$J:$J,"&lt;&gt;Corregida",Registro_CE!$C:$C,"&lt;&gt;"))</f>
      </c>
    </row>
    <row r="75">
      <c r="A75"/>
      <c r="B75"/>
      <c r="C75" t="inlineStr">
        <is>
          <t>RA3</t>
        </is>
      </c>
      <c r="D75" t="inlineStr">
        <is>
          <t>RA3.c</t>
        </is>
      </c>
      <c r="E75" t="inlineStr">
        <is>
          <t>Evalúa características de dichos sistemas.</t>
        </is>
      </c>
      <c r="F75">
        <f>IF(A75="","",IFERROR(AVERAGEIFS(Registro_CE!$L:$L,Registro_CE!$A:$A,A75,Registro_CE!$F:$F,D75),""))</f>
      </c>
      <c r="G75">
        <f>IF(A75="","",IFERROR(SUMIFS(Registro_CE!$N:$N,Registro_CE!$A:$A,A75,Registro_CE!$F:$F,D75),""))</f>
      </c>
      <c r="H75">
        <f>IF(A75="","",COUNTIFS(Registro_CE!$A:$A,A75,Registro_CE!$F:$F,D75))</f>
      </c>
      <c r="I75">
        <f>IF(A75="","",COUNTIFS(Registro_CE!$A:$A,A75,Registro_CE!$F:$F,D75,Registro_CE!$J:$J,"&lt;&gt;Corregida",Registro_CE!$C:$C,"&lt;&gt;"))</f>
      </c>
    </row>
    <row r="76">
      <c r="A76"/>
      <c r="B76"/>
      <c r="C76" t="inlineStr">
        <is>
          <t>RA3</t>
        </is>
      </c>
      <c r="D76" t="inlineStr">
        <is>
          <t>RA3.d</t>
        </is>
      </c>
      <c r="E76" t="inlineStr">
        <is>
          <t>Evalúa cómo la convergencia tecnológica aporta seguridad en los negocios.</t>
        </is>
      </c>
      <c r="F76">
        <f>IF(A76="","",IFERROR(AVERAGEIFS(Registro_CE!$L:$L,Registro_CE!$A:$A,A76,Registro_CE!$F:$F,D76),""))</f>
      </c>
      <c r="G76">
        <f>IF(A76="","",IFERROR(SUMIFS(Registro_CE!$N:$N,Registro_CE!$A:$A,A76,Registro_CE!$F:$F,D76),""))</f>
      </c>
      <c r="H76">
        <f>IF(A76="","",COUNTIFS(Registro_CE!$A:$A,A76,Registro_CE!$F:$F,D76))</f>
      </c>
      <c r="I76">
        <f>IF(A76="","",COUNTIFS(Registro_CE!$A:$A,A76,Registro_CE!$F:$F,D76,Registro_CE!$J:$J,"&lt;&gt;Corregida",Registro_CE!$C:$C,"&lt;&gt;"))</f>
      </c>
    </row>
    <row r="77">
      <c r="A77"/>
      <c r="B77"/>
      <c r="C77" t="inlineStr">
        <is>
          <t>RA3</t>
        </is>
      </c>
      <c r="D77" t="inlineStr">
        <is>
          <t>RA3.e</t>
        </is>
      </c>
      <c r="E77" t="inlineStr">
        <is>
          <t>Evalúa la mejora en la toma de decisiones estratégicas en un negocio conectado.</t>
        </is>
      </c>
      <c r="F77">
        <f>IF(A77="","",IFERROR(AVERAGEIFS(Registro_CE!$L:$L,Registro_CE!$A:$A,A77,Registro_CE!$F:$F,D77),""))</f>
      </c>
      <c r="G77">
        <f>IF(A77="","",IFERROR(SUMIFS(Registro_CE!$N:$N,Registro_CE!$A:$A,A77,Registro_CE!$F:$F,D77),""))</f>
      </c>
      <c r="H77">
        <f>IF(A77="","",COUNTIFS(Registro_CE!$A:$A,A77,Registro_CE!$F:$F,D77))</f>
      </c>
      <c r="I77">
        <f>IF(A77="","",COUNTIFS(Registro_CE!$A:$A,A77,Registro_CE!$F:$F,D77,Registro_CE!$J:$J,"&lt;&gt;Corregida",Registro_CE!$C:$C,"&lt;&gt;"))</f>
      </c>
    </row>
    <row r="78">
      <c r="A78"/>
      <c r="B78"/>
      <c r="C78" t="inlineStr">
        <is>
          <t>RA4</t>
        </is>
      </c>
      <c r="D78" t="inlineStr">
        <is>
          <t>RA4.a</t>
        </is>
      </c>
      <c r="E78" t="inlineStr">
        <is>
          <t>Identifica estrategias corporativas y modelos de negocio.</t>
        </is>
      </c>
      <c r="F78">
        <f>IF(A78="","",IFERROR(AVERAGEIFS(Registro_CE!$L:$L,Registro_CE!$A:$A,A78,Registro_CE!$F:$F,D78),""))</f>
      </c>
      <c r="G78">
        <f>IF(A78="","",IFERROR(SUMIFS(Registro_CE!$N:$N,Registro_CE!$A:$A,A78,Registro_CE!$F:$F,D78),""))</f>
      </c>
      <c r="H78">
        <f>IF(A78="","",COUNTIFS(Registro_CE!$A:$A,A78,Registro_CE!$F:$F,D78))</f>
      </c>
      <c r="I78">
        <f>IF(A78="","",COUNTIFS(Registro_CE!$A:$A,A78,Registro_CE!$F:$F,D78,Registro_CE!$J:$J,"&lt;&gt;Corregida",Registro_CE!$C:$C,"&lt;&gt;"))</f>
      </c>
    </row>
    <row r="79">
      <c r="A79"/>
      <c r="B79"/>
      <c r="C79" t="inlineStr">
        <is>
          <t>RA4</t>
        </is>
      </c>
      <c r="D79" t="inlineStr">
        <is>
          <t>RA4.b</t>
        </is>
      </c>
      <c r="E79" t="inlineStr">
        <is>
          <t>Define relación empresa-cliente y gestión de activos/recursos.</t>
        </is>
      </c>
      <c r="F79">
        <f>IF(A79="","",IFERROR(AVERAGEIFS(Registro_CE!$L:$L,Registro_CE!$A:$A,A79,Registro_CE!$F:$F,D79),""))</f>
      </c>
      <c r="G79">
        <f>IF(A79="","",IFERROR(SUMIFS(Registro_CE!$N:$N,Registro_CE!$A:$A,A79,Registro_CE!$F:$F,D79),""))</f>
      </c>
      <c r="H79">
        <f>IF(A79="","",COUNTIFS(Registro_CE!$A:$A,A79,Registro_CE!$F:$F,D79))</f>
      </c>
      <c r="I79">
        <f>IF(A79="","",COUNTIFS(Registro_CE!$A:$A,A79,Registro_CE!$F:$F,D79,Registro_CE!$J:$J,"&lt;&gt;Corregida",Registro_CE!$C:$C,"&lt;&gt;"))</f>
      </c>
    </row>
    <row r="80">
      <c r="A80"/>
      <c r="B80"/>
      <c r="C80" t="inlineStr">
        <is>
          <t>RA4</t>
        </is>
      </c>
      <c r="D80" t="inlineStr">
        <is>
          <t>RA4.c</t>
        </is>
      </c>
      <c r="E80" t="inlineStr">
        <is>
          <t>Evalúa modelos de automatización para requerimientos industriales y de negocio.</t>
        </is>
      </c>
      <c r="F80">
        <f>IF(A80="","",IFERROR(AVERAGEIFS(Registro_CE!$L:$L,Registro_CE!$A:$A,A80,Registro_CE!$F:$F,D80),""))</f>
      </c>
      <c r="G80">
        <f>IF(A80="","",IFERROR(SUMIFS(Registro_CE!$N:$N,Registro_CE!$A:$A,A80,Registro_CE!$F:$F,D80),""))</f>
      </c>
      <c r="H80">
        <f>IF(A80="","",COUNTIFS(Registro_CE!$A:$A,A80,Registro_CE!$F:$F,D80))</f>
      </c>
      <c r="I80">
        <f>IF(A80="","",COUNTIFS(Registro_CE!$A:$A,A80,Registro_CE!$F:$F,D80,Registro_CE!$J:$J,"&lt;&gt;Corregida",Registro_CE!$C:$C,"&lt;&gt;"))</f>
      </c>
    </row>
    <row r="81">
      <c r="A81"/>
      <c r="B81"/>
      <c r="C81" t="inlineStr">
        <is>
          <t>RA4</t>
        </is>
      </c>
      <c r="D81" t="inlineStr">
        <is>
          <t>RA4.d</t>
        </is>
      </c>
      <c r="E81" t="inlineStr">
        <is>
          <t>Evalúa la conveniencia de cada modelo para conseguir resultados esperados.</t>
        </is>
      </c>
      <c r="F81">
        <f>IF(A81="","",IFERROR(AVERAGEIFS(Registro_CE!$L:$L,Registro_CE!$A:$A,A81,Registro_CE!$F:$F,D81),""))</f>
      </c>
      <c r="G81">
        <f>IF(A81="","",IFERROR(SUMIFS(Registro_CE!$N:$N,Registro_CE!$A:$A,A81,Registro_CE!$F:$F,D81),""))</f>
      </c>
      <c r="H81">
        <f>IF(A81="","",COUNTIFS(Registro_CE!$A:$A,A81,Registro_CE!$F:$F,D81))</f>
      </c>
      <c r="I81">
        <f>IF(A81="","",COUNTIFS(Registro_CE!$A:$A,A81,Registro_CE!$F:$F,D81,Registro_CE!$J:$J,"&lt;&gt;Corregida",Registro_CE!$C:$C,"&lt;&gt;"))</f>
      </c>
    </row>
  </sheetData>
  <autoFilter ref="A1:I81"/>
</worksheet>
</file>

<file path=xl/worksheets/sheet6.xml><?xml version="1.0" encoding="utf-8"?>
<worksheet xmlns="http://schemas.openxmlformats.org/spreadsheetml/2006/main" xmlns:r="http://schemas.openxmlformats.org/officeDocument/2006/relationships">
  <dimension ref="A1:L2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10" customWidth="1"/>
    <col min="4" max="4" width="42" customWidth="1"/>
    <col min="5" max="5" width="60" customWidth="1"/>
    <col min="6" max="6" width="18" customWidth="1"/>
    <col min="7" max="7" width="18" customWidth="1"/>
    <col min="8" max="8" width="16" customWidth="1"/>
    <col min="9" max="9" width="16" customWidth="1"/>
    <col min="10" max="10" width="10" customWidth="1"/>
    <col min="11" max="11" width="16" customWidth="1"/>
    <col min="12" max="12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Unidad</t>
        </is>
      </c>
      <c r="D1" t="inlineStr" s="1">
        <is>
          <t>Actividad</t>
        </is>
      </c>
      <c r="E1" t="inlineStr" s="1">
        <is>
          <t>Ruta</t>
        </is>
      </c>
      <c r="F1" t="inlineStr" s="1">
        <is>
          <t>Estado entrega</t>
        </is>
      </c>
      <c r="G1" t="inlineStr" s="1">
        <is>
          <t>Estado corrección</t>
        </is>
      </c>
      <c r="H1" t="inlineStr" s="1">
        <is>
          <t>Fecha entrega</t>
        </is>
      </c>
      <c r="I1" t="inlineStr" s="1">
        <is>
          <t>Nota global 0-10</t>
        </is>
      </c>
      <c r="J1" t="inlineStr" s="1">
        <is>
          <t>Peso %</t>
        </is>
      </c>
      <c r="K1" t="inlineStr" s="1">
        <is>
          <t>Nota ponderada</t>
        </is>
      </c>
      <c r="L1" t="inlineStr" s="1">
        <is>
          <t>Observaciones</t>
        </is>
      </c>
    </row>
    <row r="2">
      <c r="A2"/>
      <c r="B2"/>
      <c r="C2"/>
      <c r="D2"/>
      <c r="E2"/>
      <c r="F2" t="inlineStr">
        <is>
          <t>No empezada</t>
        </is>
      </c>
      <c r="G2" t="inlineStr">
        <is>
          <t>Pendiente</t>
        </is>
      </c>
      <c r="H2"/>
      <c r="I2"/>
      <c r="J2"/>
      <c r="K2">
        <f>IF(AND(ISNUMBER(I2),ISNUMBER(J2)),I2*J2/100,"")</f>
      </c>
      <c r="L2"/>
    </row>
    <row r="3">
      <c r="A3"/>
      <c r="B3"/>
      <c r="C3"/>
      <c r="D3"/>
      <c r="E3"/>
      <c r="F3" t="inlineStr">
        <is>
          <t>No empezada</t>
        </is>
      </c>
      <c r="G3" t="inlineStr">
        <is>
          <t>Pendiente</t>
        </is>
      </c>
      <c r="H3"/>
      <c r="I3"/>
      <c r="J3"/>
      <c r="K3">
        <f>IF(AND(ISNUMBER(I3),ISNUMBER(J3)),I3*J3/100,"")</f>
      </c>
      <c r="L3"/>
    </row>
    <row r="4">
      <c r="A4"/>
      <c r="B4"/>
      <c r="C4"/>
      <c r="D4"/>
      <c r="E4"/>
      <c r="F4" t="inlineStr">
        <is>
          <t>No empezada</t>
        </is>
      </c>
      <c r="G4" t="inlineStr">
        <is>
          <t>Pendiente</t>
        </is>
      </c>
      <c r="H4"/>
      <c r="I4"/>
      <c r="J4"/>
      <c r="K4">
        <f>IF(AND(ISNUMBER(I4),ISNUMBER(J4)),I4*J4/100,"")</f>
      </c>
      <c r="L4"/>
    </row>
    <row r="5">
      <c r="A5"/>
      <c r="B5"/>
      <c r="C5"/>
      <c r="D5"/>
      <c r="E5"/>
      <c r="F5" t="inlineStr">
        <is>
          <t>No empezada</t>
        </is>
      </c>
      <c r="G5" t="inlineStr">
        <is>
          <t>Pendiente</t>
        </is>
      </c>
      <c r="H5"/>
      <c r="I5"/>
      <c r="J5"/>
      <c r="K5">
        <f>IF(AND(ISNUMBER(I5),ISNUMBER(J5)),I5*J5/100,"")</f>
      </c>
      <c r="L5"/>
    </row>
    <row r="6">
      <c r="A6"/>
      <c r="B6"/>
      <c r="C6"/>
      <c r="D6"/>
      <c r="E6"/>
      <c r="F6" t="inlineStr">
        <is>
          <t>No empezada</t>
        </is>
      </c>
      <c r="G6" t="inlineStr">
        <is>
          <t>Pendiente</t>
        </is>
      </c>
      <c r="H6"/>
      <c r="I6"/>
      <c r="J6"/>
      <c r="K6">
        <f>IF(AND(ISNUMBER(I6),ISNUMBER(J6)),I6*J6/100,"")</f>
      </c>
      <c r="L6"/>
    </row>
    <row r="7">
      <c r="A7"/>
      <c r="B7"/>
      <c r="C7"/>
      <c r="D7"/>
      <c r="E7"/>
      <c r="F7" t="inlineStr">
        <is>
          <t>No empezada</t>
        </is>
      </c>
      <c r="G7" t="inlineStr">
        <is>
          <t>Pendiente</t>
        </is>
      </c>
      <c r="H7"/>
      <c r="I7"/>
      <c r="J7"/>
      <c r="K7">
        <f>IF(AND(ISNUMBER(I7),ISNUMBER(J7)),I7*J7/100,"")</f>
      </c>
      <c r="L7"/>
    </row>
    <row r="8">
      <c r="A8"/>
      <c r="B8"/>
      <c r="C8"/>
      <c r="D8"/>
      <c r="E8"/>
      <c r="F8" t="inlineStr">
        <is>
          <t>No empezada</t>
        </is>
      </c>
      <c r="G8" t="inlineStr">
        <is>
          <t>Pendiente</t>
        </is>
      </c>
      <c r="H8"/>
      <c r="I8"/>
      <c r="J8"/>
      <c r="K8">
        <f>IF(AND(ISNUMBER(I8),ISNUMBER(J8)),I8*J8/100,"")</f>
      </c>
      <c r="L8"/>
    </row>
    <row r="9">
      <c r="A9"/>
      <c r="B9"/>
      <c r="C9"/>
      <c r="D9"/>
      <c r="E9"/>
      <c r="F9" t="inlineStr">
        <is>
          <t>No empezada</t>
        </is>
      </c>
      <c r="G9" t="inlineStr">
        <is>
          <t>Pendiente</t>
        </is>
      </c>
      <c r="H9"/>
      <c r="I9"/>
      <c r="J9"/>
      <c r="K9">
        <f>IF(AND(ISNUMBER(I9),ISNUMBER(J9)),I9*J9/100,"")</f>
      </c>
      <c r="L9"/>
    </row>
    <row r="10">
      <c r="A10"/>
      <c r="B10"/>
      <c r="C10"/>
      <c r="D10"/>
      <c r="E10"/>
      <c r="F10" t="inlineStr">
        <is>
          <t>No empezada</t>
        </is>
      </c>
      <c r="G10" t="inlineStr">
        <is>
          <t>Pendiente</t>
        </is>
      </c>
      <c r="H10"/>
      <c r="I10"/>
      <c r="J10"/>
      <c r="K10">
        <f>IF(AND(ISNUMBER(I10),ISNUMBER(J10)),I10*J10/100,"")</f>
      </c>
      <c r="L10"/>
    </row>
    <row r="11">
      <c r="A11"/>
      <c r="B11"/>
      <c r="C11"/>
      <c r="D11"/>
      <c r="E11"/>
      <c r="F11" t="inlineStr">
        <is>
          <t>No empezada</t>
        </is>
      </c>
      <c r="G11" t="inlineStr">
        <is>
          <t>Pendiente</t>
        </is>
      </c>
      <c r="H11"/>
      <c r="I11"/>
      <c r="J11"/>
      <c r="K11">
        <f>IF(AND(ISNUMBER(I11),ISNUMBER(J11)),I11*J11/100,"")</f>
      </c>
      <c r="L11"/>
    </row>
    <row r="12">
      <c r="A12"/>
      <c r="B12"/>
      <c r="C12"/>
      <c r="D12"/>
      <c r="E12"/>
      <c r="F12" t="inlineStr">
        <is>
          <t>No empezada</t>
        </is>
      </c>
      <c r="G12" t="inlineStr">
        <is>
          <t>Pendiente</t>
        </is>
      </c>
      <c r="H12"/>
      <c r="I12"/>
      <c r="J12"/>
      <c r="K12">
        <f>IF(AND(ISNUMBER(I12),ISNUMBER(J12)),I12*J12/100,"")</f>
      </c>
      <c r="L12"/>
    </row>
    <row r="13">
      <c r="A13"/>
      <c r="B13"/>
      <c r="C13"/>
      <c r="D13"/>
      <c r="E13"/>
      <c r="F13" t="inlineStr">
        <is>
          <t>No empezada</t>
        </is>
      </c>
      <c r="G13" t="inlineStr">
        <is>
          <t>Pendiente</t>
        </is>
      </c>
      <c r="H13"/>
      <c r="I13"/>
      <c r="J13"/>
      <c r="K13">
        <f>IF(AND(ISNUMBER(I13),ISNUMBER(J13)),I13*J13/100,"")</f>
      </c>
      <c r="L13"/>
    </row>
    <row r="14">
      <c r="A14"/>
      <c r="B14"/>
      <c r="C14"/>
      <c r="D14"/>
      <c r="E14"/>
      <c r="F14" t="inlineStr">
        <is>
          <t>No empezada</t>
        </is>
      </c>
      <c r="G14" t="inlineStr">
        <is>
          <t>Pendiente</t>
        </is>
      </c>
      <c r="H14"/>
      <c r="I14"/>
      <c r="J14"/>
      <c r="K14">
        <f>IF(AND(ISNUMBER(I14),ISNUMBER(J14)),I14*J14/100,"")</f>
      </c>
      <c r="L14"/>
    </row>
    <row r="15">
      <c r="A15"/>
      <c r="B15"/>
      <c r="C15"/>
      <c r="D15"/>
      <c r="E15"/>
      <c r="F15" t="inlineStr">
        <is>
          <t>No empezada</t>
        </is>
      </c>
      <c r="G15" t="inlineStr">
        <is>
          <t>Pendiente</t>
        </is>
      </c>
      <c r="H15"/>
      <c r="I15"/>
      <c r="J15"/>
      <c r="K15">
        <f>IF(AND(ISNUMBER(I15),ISNUMBER(J15)),I15*J15/100,"")</f>
      </c>
      <c r="L15"/>
    </row>
    <row r="16">
      <c r="A16"/>
      <c r="B16"/>
      <c r="C16"/>
      <c r="D16"/>
      <c r="E16"/>
      <c r="F16" t="inlineStr">
        <is>
          <t>No empezada</t>
        </is>
      </c>
      <c r="G16" t="inlineStr">
        <is>
          <t>Pendiente</t>
        </is>
      </c>
      <c r="H16"/>
      <c r="I16"/>
      <c r="J16"/>
      <c r="K16">
        <f>IF(AND(ISNUMBER(I16),ISNUMBER(J16)),I16*J16/100,"")</f>
      </c>
      <c r="L16"/>
    </row>
    <row r="17">
      <c r="A17"/>
      <c r="B17"/>
      <c r="C17"/>
      <c r="D17"/>
      <c r="E17"/>
      <c r="F17" t="inlineStr">
        <is>
          <t>No empezada</t>
        </is>
      </c>
      <c r="G17" t="inlineStr">
        <is>
          <t>Pendiente</t>
        </is>
      </c>
      <c r="H17"/>
      <c r="I17"/>
      <c r="J17"/>
      <c r="K17">
        <f>IF(AND(ISNUMBER(I17),ISNUMBER(J17)),I17*J17/100,"")</f>
      </c>
      <c r="L17"/>
    </row>
    <row r="18">
      <c r="A18"/>
      <c r="B18"/>
      <c r="C18"/>
      <c r="D18"/>
      <c r="E18"/>
      <c r="F18" t="inlineStr">
        <is>
          <t>No empezada</t>
        </is>
      </c>
      <c r="G18" t="inlineStr">
        <is>
          <t>Pendiente</t>
        </is>
      </c>
      <c r="H18"/>
      <c r="I18"/>
      <c r="J18"/>
      <c r="K18">
        <f>IF(AND(ISNUMBER(I18),ISNUMBER(J18)),I18*J18/100,"")</f>
      </c>
      <c r="L18"/>
    </row>
    <row r="19">
      <c r="A19"/>
      <c r="B19"/>
      <c r="C19"/>
      <c r="D19"/>
      <c r="E19"/>
      <c r="F19" t="inlineStr">
        <is>
          <t>No empezada</t>
        </is>
      </c>
      <c r="G19" t="inlineStr">
        <is>
          <t>Pendiente</t>
        </is>
      </c>
      <c r="H19"/>
      <c r="I19"/>
      <c r="J19"/>
      <c r="K19">
        <f>IF(AND(ISNUMBER(I19),ISNUMBER(J19)),I19*J19/100,"")</f>
      </c>
      <c r="L19"/>
    </row>
    <row r="20">
      <c r="A20"/>
      <c r="B20"/>
      <c r="C20"/>
      <c r="D20"/>
      <c r="E20"/>
      <c r="F20" t="inlineStr">
        <is>
          <t>No empezada</t>
        </is>
      </c>
      <c r="G20" t="inlineStr">
        <is>
          <t>Pendiente</t>
        </is>
      </c>
      <c r="H20"/>
      <c r="I20"/>
      <c r="J20"/>
      <c r="K20">
        <f>IF(AND(ISNUMBER(I20),ISNUMBER(J20)),I20*J20/100,"")</f>
      </c>
      <c r="L20"/>
    </row>
    <row r="21">
      <c r="A21"/>
      <c r="B21"/>
      <c r="C21"/>
      <c r="D21"/>
      <c r="E21"/>
      <c r="F21" t="inlineStr">
        <is>
          <t>No empezada</t>
        </is>
      </c>
      <c r="G21" t="inlineStr">
        <is>
          <t>Pendiente</t>
        </is>
      </c>
      <c r="H21"/>
      <c r="I21"/>
      <c r="J21"/>
      <c r="K21">
        <f>IF(AND(ISNUMBER(I21),ISNUMBER(J21)),I21*J21/100,"")</f>
      </c>
      <c r="L21"/>
    </row>
    <row r="22">
      <c r="A22"/>
      <c r="B22"/>
      <c r="C22"/>
      <c r="D22"/>
      <c r="E22"/>
      <c r="F22" t="inlineStr">
        <is>
          <t>No empezada</t>
        </is>
      </c>
      <c r="G22" t="inlineStr">
        <is>
          <t>Pendiente</t>
        </is>
      </c>
      <c r="H22"/>
      <c r="I22"/>
      <c r="J22"/>
      <c r="K22">
        <f>IF(AND(ISNUMBER(I22),ISNUMBER(J22)),I22*J22/100,"")</f>
      </c>
      <c r="L22"/>
    </row>
    <row r="23">
      <c r="A23"/>
      <c r="B23"/>
      <c r="C23"/>
      <c r="D23"/>
      <c r="E23"/>
      <c r="F23" t="inlineStr">
        <is>
          <t>No empezada</t>
        </is>
      </c>
      <c r="G23" t="inlineStr">
        <is>
          <t>Pendiente</t>
        </is>
      </c>
      <c r="H23"/>
      <c r="I23"/>
      <c r="J23"/>
      <c r="K23">
        <f>IF(AND(ISNUMBER(I23),ISNUMBER(J23)),I23*J23/100,"")</f>
      </c>
      <c r="L23"/>
    </row>
    <row r="24">
      <c r="A24"/>
      <c r="B24"/>
      <c r="C24"/>
      <c r="D24"/>
      <c r="E24"/>
      <c r="F24" t="inlineStr">
        <is>
          <t>No empezada</t>
        </is>
      </c>
      <c r="G24" t="inlineStr">
        <is>
          <t>Pendiente</t>
        </is>
      </c>
      <c r="H24"/>
      <c r="I24"/>
      <c r="J24"/>
      <c r="K24">
        <f>IF(AND(ISNUMBER(I24),ISNUMBER(J24)),I24*J24/100,"")</f>
      </c>
      <c r="L24"/>
    </row>
    <row r="25">
      <c r="A25"/>
      <c r="B25"/>
      <c r="C25"/>
      <c r="D25"/>
      <c r="E25"/>
      <c r="F25" t="inlineStr">
        <is>
          <t>No empezada</t>
        </is>
      </c>
      <c r="G25" t="inlineStr">
        <is>
          <t>Pendiente</t>
        </is>
      </c>
      <c r="H25"/>
      <c r="I25"/>
      <c r="J25"/>
      <c r="K25">
        <f>IF(AND(ISNUMBER(I25),ISNUMBER(J25)),I25*J25/100,"")</f>
      </c>
      <c r="L25"/>
    </row>
    <row r="26">
      <c r="A26"/>
      <c r="B26"/>
      <c r="C26"/>
      <c r="D26"/>
      <c r="E26"/>
      <c r="F26" t="inlineStr">
        <is>
          <t>No empezada</t>
        </is>
      </c>
      <c r="G26" t="inlineStr">
        <is>
          <t>Pendiente</t>
        </is>
      </c>
      <c r="H26"/>
      <c r="I26"/>
      <c r="J26"/>
      <c r="K26">
        <f>IF(AND(ISNUMBER(I26),ISNUMBER(J26)),I26*J26/100,"")</f>
      </c>
      <c r="L26"/>
    </row>
    <row r="27">
      <c r="A27"/>
      <c r="B27"/>
      <c r="C27"/>
      <c r="D27"/>
      <c r="E27"/>
      <c r="F27" t="inlineStr">
        <is>
          <t>No empezada</t>
        </is>
      </c>
      <c r="G27" t="inlineStr">
        <is>
          <t>Pendiente</t>
        </is>
      </c>
      <c r="H27"/>
      <c r="I27"/>
      <c r="J27"/>
      <c r="K27">
        <f>IF(AND(ISNUMBER(I27),ISNUMBER(J27)),I27*J27/100,"")</f>
      </c>
      <c r="L27"/>
    </row>
    <row r="28">
      <c r="A28"/>
      <c r="B28"/>
      <c r="C28"/>
      <c r="D28"/>
      <c r="E28"/>
      <c r="F28" t="inlineStr">
        <is>
          <t>No empezada</t>
        </is>
      </c>
      <c r="G28" t="inlineStr">
        <is>
          <t>Pendiente</t>
        </is>
      </c>
      <c r="H28"/>
      <c r="I28"/>
      <c r="J28"/>
      <c r="K28">
        <f>IF(AND(ISNUMBER(I28),ISNUMBER(J28)),I28*J28/100,"")</f>
      </c>
      <c r="L28"/>
    </row>
    <row r="29">
      <c r="A29"/>
      <c r="B29"/>
      <c r="C29"/>
      <c r="D29"/>
      <c r="E29"/>
      <c r="F29" t="inlineStr">
        <is>
          <t>No empezada</t>
        </is>
      </c>
      <c r="G29" t="inlineStr">
        <is>
          <t>Pendiente</t>
        </is>
      </c>
      <c r="H29"/>
      <c r="I29"/>
      <c r="J29"/>
      <c r="K29">
        <f>IF(AND(ISNUMBER(I29),ISNUMBER(J29)),I29*J29/100,"")</f>
      </c>
      <c r="L29"/>
    </row>
    <row r="30">
      <c r="A30"/>
      <c r="B30"/>
      <c r="C30"/>
      <c r="D30"/>
      <c r="E30"/>
      <c r="F30" t="inlineStr">
        <is>
          <t>No empezada</t>
        </is>
      </c>
      <c r="G30" t="inlineStr">
        <is>
          <t>Pendiente</t>
        </is>
      </c>
      <c r="H30"/>
      <c r="I30"/>
      <c r="J30"/>
      <c r="K30">
        <f>IF(AND(ISNUMBER(I30),ISNUMBER(J30)),I30*J30/100,"")</f>
      </c>
      <c r="L30"/>
    </row>
    <row r="31">
      <c r="A31"/>
      <c r="B31"/>
      <c r="C31"/>
      <c r="D31"/>
      <c r="E31"/>
      <c r="F31" t="inlineStr">
        <is>
          <t>No empezada</t>
        </is>
      </c>
      <c r="G31" t="inlineStr">
        <is>
          <t>Pendiente</t>
        </is>
      </c>
      <c r="H31"/>
      <c r="I31"/>
      <c r="J31"/>
      <c r="K31">
        <f>IF(AND(ISNUMBER(I31),ISNUMBER(J31)),I31*J31/100,"")</f>
      </c>
      <c r="L31"/>
    </row>
    <row r="32">
      <c r="A32"/>
      <c r="B32"/>
      <c r="C32"/>
      <c r="D32"/>
      <c r="E32"/>
      <c r="F32" t="inlineStr">
        <is>
          <t>No empezada</t>
        </is>
      </c>
      <c r="G32" t="inlineStr">
        <is>
          <t>Pendiente</t>
        </is>
      </c>
      <c r="H32"/>
      <c r="I32"/>
      <c r="J32"/>
      <c r="K32">
        <f>IF(AND(ISNUMBER(I32),ISNUMBER(J32)),I32*J32/100,"")</f>
      </c>
      <c r="L32"/>
    </row>
    <row r="33">
      <c r="A33"/>
      <c r="B33"/>
      <c r="C33"/>
      <c r="D33"/>
      <c r="E33"/>
      <c r="F33" t="inlineStr">
        <is>
          <t>No empezada</t>
        </is>
      </c>
      <c r="G33" t="inlineStr">
        <is>
          <t>Pendiente</t>
        </is>
      </c>
      <c r="H33"/>
      <c r="I33"/>
      <c r="J33"/>
      <c r="K33">
        <f>IF(AND(ISNUMBER(I33),ISNUMBER(J33)),I33*J33/100,"")</f>
      </c>
      <c r="L33"/>
    </row>
    <row r="34">
      <c r="A34"/>
      <c r="B34"/>
      <c r="C34"/>
      <c r="D34"/>
      <c r="E34"/>
      <c r="F34" t="inlineStr">
        <is>
          <t>No empezada</t>
        </is>
      </c>
      <c r="G34" t="inlineStr">
        <is>
          <t>Pendiente</t>
        </is>
      </c>
      <c r="H34"/>
      <c r="I34"/>
      <c r="J34"/>
      <c r="K34">
        <f>IF(AND(ISNUMBER(I34),ISNUMBER(J34)),I34*J34/100,"")</f>
      </c>
      <c r="L34"/>
    </row>
    <row r="35">
      <c r="A35"/>
      <c r="B35"/>
      <c r="C35"/>
      <c r="D35"/>
      <c r="E35"/>
      <c r="F35" t="inlineStr">
        <is>
          <t>No empezada</t>
        </is>
      </c>
      <c r="G35" t="inlineStr">
        <is>
          <t>Pendiente</t>
        </is>
      </c>
      <c r="H35"/>
      <c r="I35"/>
      <c r="J35"/>
      <c r="K35">
        <f>IF(AND(ISNUMBER(I35),ISNUMBER(J35)),I35*J35/100,"")</f>
      </c>
      <c r="L35"/>
    </row>
    <row r="36">
      <c r="A36"/>
      <c r="B36"/>
      <c r="C36"/>
      <c r="D36"/>
      <c r="E36"/>
      <c r="F36" t="inlineStr">
        <is>
          <t>No empezada</t>
        </is>
      </c>
      <c r="G36" t="inlineStr">
        <is>
          <t>Pendiente</t>
        </is>
      </c>
      <c r="H36"/>
      <c r="I36"/>
      <c r="J36"/>
      <c r="K36">
        <f>IF(AND(ISNUMBER(I36),ISNUMBER(J36)),I36*J36/100,"")</f>
      </c>
      <c r="L36"/>
    </row>
    <row r="37">
      <c r="A37"/>
      <c r="B37"/>
      <c r="C37"/>
      <c r="D37"/>
      <c r="E37"/>
      <c r="F37" t="inlineStr">
        <is>
          <t>No empezada</t>
        </is>
      </c>
      <c r="G37" t="inlineStr">
        <is>
          <t>Pendiente</t>
        </is>
      </c>
      <c r="H37"/>
      <c r="I37"/>
      <c r="J37"/>
      <c r="K37">
        <f>IF(AND(ISNUMBER(I37),ISNUMBER(J37)),I37*J37/100,"")</f>
      </c>
      <c r="L37"/>
    </row>
    <row r="38">
      <c r="A38"/>
      <c r="B38"/>
      <c r="C38"/>
      <c r="D38"/>
      <c r="E38"/>
      <c r="F38" t="inlineStr">
        <is>
          <t>No empezada</t>
        </is>
      </c>
      <c r="G38" t="inlineStr">
        <is>
          <t>Pendiente</t>
        </is>
      </c>
      <c r="H38"/>
      <c r="I38"/>
      <c r="J38"/>
      <c r="K38">
        <f>IF(AND(ISNUMBER(I38),ISNUMBER(J38)),I38*J38/100,"")</f>
      </c>
      <c r="L38"/>
    </row>
    <row r="39">
      <c r="A39"/>
      <c r="B39"/>
      <c r="C39"/>
      <c r="D39"/>
      <c r="E39"/>
      <c r="F39" t="inlineStr">
        <is>
          <t>No empezada</t>
        </is>
      </c>
      <c r="G39" t="inlineStr">
        <is>
          <t>Pendiente</t>
        </is>
      </c>
      <c r="H39"/>
      <c r="I39"/>
      <c r="J39"/>
      <c r="K39">
        <f>IF(AND(ISNUMBER(I39),ISNUMBER(J39)),I39*J39/100,"")</f>
      </c>
      <c r="L39"/>
    </row>
    <row r="40">
      <c r="A40"/>
      <c r="B40"/>
      <c r="C40"/>
      <c r="D40"/>
      <c r="E40"/>
      <c r="F40" t="inlineStr">
        <is>
          <t>No empezada</t>
        </is>
      </c>
      <c r="G40" t="inlineStr">
        <is>
          <t>Pendiente</t>
        </is>
      </c>
      <c r="H40"/>
      <c r="I40"/>
      <c r="J40"/>
      <c r="K40">
        <f>IF(AND(ISNUMBER(I40),ISNUMBER(J40)),I40*J40/100,"")</f>
      </c>
      <c r="L40"/>
    </row>
    <row r="41">
      <c r="A41"/>
      <c r="B41"/>
      <c r="C41"/>
      <c r="D41"/>
      <c r="E41"/>
      <c r="F41" t="inlineStr">
        <is>
          <t>No empezada</t>
        </is>
      </c>
      <c r="G41" t="inlineStr">
        <is>
          <t>Pendiente</t>
        </is>
      </c>
      <c r="H41"/>
      <c r="I41"/>
      <c r="J41"/>
      <c r="K41">
        <f>IF(AND(ISNUMBER(I41),ISNUMBER(J41)),I41*J41/100,"")</f>
      </c>
      <c r="L41"/>
    </row>
    <row r="42">
      <c r="A42"/>
      <c r="B42"/>
      <c r="C42"/>
      <c r="D42"/>
      <c r="E42"/>
      <c r="F42" t="inlineStr">
        <is>
          <t>No empezada</t>
        </is>
      </c>
      <c r="G42" t="inlineStr">
        <is>
          <t>Pendiente</t>
        </is>
      </c>
      <c r="H42"/>
      <c r="I42"/>
      <c r="J42"/>
      <c r="K42">
        <f>IF(AND(ISNUMBER(I42),ISNUMBER(J42)),I42*J42/100,"")</f>
      </c>
      <c r="L42"/>
    </row>
    <row r="43">
      <c r="A43"/>
      <c r="B43"/>
      <c r="C43"/>
      <c r="D43"/>
      <c r="E43"/>
      <c r="F43" t="inlineStr">
        <is>
          <t>No empezada</t>
        </is>
      </c>
      <c r="G43" t="inlineStr">
        <is>
          <t>Pendiente</t>
        </is>
      </c>
      <c r="H43"/>
      <c r="I43"/>
      <c r="J43"/>
      <c r="K43">
        <f>IF(AND(ISNUMBER(I43),ISNUMBER(J43)),I43*J43/100,"")</f>
      </c>
      <c r="L43"/>
    </row>
    <row r="44">
      <c r="A44"/>
      <c r="B44"/>
      <c r="C44"/>
      <c r="D44"/>
      <c r="E44"/>
      <c r="F44" t="inlineStr">
        <is>
          <t>No empezada</t>
        </is>
      </c>
      <c r="G44" t="inlineStr">
        <is>
          <t>Pendiente</t>
        </is>
      </c>
      <c r="H44"/>
      <c r="I44"/>
      <c r="J44"/>
      <c r="K44">
        <f>IF(AND(ISNUMBER(I44),ISNUMBER(J44)),I44*J44/100,"")</f>
      </c>
      <c r="L44"/>
    </row>
    <row r="45">
      <c r="A45"/>
      <c r="B45"/>
      <c r="C45"/>
      <c r="D45"/>
      <c r="E45"/>
      <c r="F45" t="inlineStr">
        <is>
          <t>No empezada</t>
        </is>
      </c>
      <c r="G45" t="inlineStr">
        <is>
          <t>Pendiente</t>
        </is>
      </c>
      <c r="H45"/>
      <c r="I45"/>
      <c r="J45"/>
      <c r="K45">
        <f>IF(AND(ISNUMBER(I45),ISNUMBER(J45)),I45*J45/100,"")</f>
      </c>
      <c r="L45"/>
    </row>
    <row r="46">
      <c r="A46"/>
      <c r="B46"/>
      <c r="C46"/>
      <c r="D46"/>
      <c r="E46"/>
      <c r="F46" t="inlineStr">
        <is>
          <t>No empezada</t>
        </is>
      </c>
      <c r="G46" t="inlineStr">
        <is>
          <t>Pendiente</t>
        </is>
      </c>
      <c r="H46"/>
      <c r="I46"/>
      <c r="J46"/>
      <c r="K46">
        <f>IF(AND(ISNUMBER(I46),ISNUMBER(J46)),I46*J46/100,"")</f>
      </c>
      <c r="L46"/>
    </row>
    <row r="47">
      <c r="A47"/>
      <c r="B47"/>
      <c r="C47"/>
      <c r="D47"/>
      <c r="E47"/>
      <c r="F47" t="inlineStr">
        <is>
          <t>No empezada</t>
        </is>
      </c>
      <c r="G47" t="inlineStr">
        <is>
          <t>Pendiente</t>
        </is>
      </c>
      <c r="H47"/>
      <c r="I47"/>
      <c r="J47"/>
      <c r="K47">
        <f>IF(AND(ISNUMBER(I47),ISNUMBER(J47)),I47*J47/100,"")</f>
      </c>
      <c r="L47"/>
    </row>
    <row r="48">
      <c r="A48"/>
      <c r="B48"/>
      <c r="C48"/>
      <c r="D48"/>
      <c r="E48"/>
      <c r="F48" t="inlineStr">
        <is>
          <t>No empezada</t>
        </is>
      </c>
      <c r="G48" t="inlineStr">
        <is>
          <t>Pendiente</t>
        </is>
      </c>
      <c r="H48"/>
      <c r="I48"/>
      <c r="J48"/>
      <c r="K48">
        <f>IF(AND(ISNUMBER(I48),ISNUMBER(J48)),I48*J48/100,"")</f>
      </c>
      <c r="L48"/>
    </row>
    <row r="49">
      <c r="A49"/>
      <c r="B49"/>
      <c r="C49"/>
      <c r="D49"/>
      <c r="E49"/>
      <c r="F49" t="inlineStr">
        <is>
          <t>No empezada</t>
        </is>
      </c>
      <c r="G49" t="inlineStr">
        <is>
          <t>Pendiente</t>
        </is>
      </c>
      <c r="H49"/>
      <c r="I49"/>
      <c r="J49"/>
      <c r="K49">
        <f>IF(AND(ISNUMBER(I49),ISNUMBER(J49)),I49*J49/100,"")</f>
      </c>
      <c r="L49"/>
    </row>
    <row r="50">
      <c r="A50"/>
      <c r="B50"/>
      <c r="C50"/>
      <c r="D50"/>
      <c r="E50"/>
      <c r="F50" t="inlineStr">
        <is>
          <t>No empezada</t>
        </is>
      </c>
      <c r="G50" t="inlineStr">
        <is>
          <t>Pendiente</t>
        </is>
      </c>
      <c r="H50"/>
      <c r="I50"/>
      <c r="J50"/>
      <c r="K50">
        <f>IF(AND(ISNUMBER(I50),ISNUMBER(J50)),I50*J50/100,"")</f>
      </c>
      <c r="L50"/>
    </row>
    <row r="51">
      <c r="A51"/>
      <c r="B51"/>
      <c r="C51"/>
      <c r="D51"/>
      <c r="E51"/>
      <c r="F51" t="inlineStr">
        <is>
          <t>No empezada</t>
        </is>
      </c>
      <c r="G51" t="inlineStr">
        <is>
          <t>Pendiente</t>
        </is>
      </c>
      <c r="H51"/>
      <c r="I51"/>
      <c r="J51"/>
      <c r="K51">
        <f>IF(AND(ISNUMBER(I51),ISNUMBER(J51)),I51*J51/100,"")</f>
      </c>
      <c r="L51"/>
    </row>
    <row r="52">
      <c r="A52"/>
      <c r="B52"/>
      <c r="C52"/>
      <c r="D52"/>
      <c r="E52"/>
      <c r="F52" t="inlineStr">
        <is>
          <t>No empezada</t>
        </is>
      </c>
      <c r="G52" t="inlineStr">
        <is>
          <t>Pendiente</t>
        </is>
      </c>
      <c r="H52"/>
      <c r="I52"/>
      <c r="J52"/>
      <c r="K52">
        <f>IF(AND(ISNUMBER(I52),ISNUMBER(J52)),I52*J52/100,"")</f>
      </c>
      <c r="L52"/>
    </row>
    <row r="53">
      <c r="A53"/>
      <c r="B53"/>
      <c r="C53"/>
      <c r="D53"/>
      <c r="E53"/>
      <c r="F53" t="inlineStr">
        <is>
          <t>No empezada</t>
        </is>
      </c>
      <c r="G53" t="inlineStr">
        <is>
          <t>Pendiente</t>
        </is>
      </c>
      <c r="H53"/>
      <c r="I53"/>
      <c r="J53"/>
      <c r="K53">
        <f>IF(AND(ISNUMBER(I53),ISNUMBER(J53)),I53*J53/100,"")</f>
      </c>
      <c r="L53"/>
    </row>
    <row r="54">
      <c r="A54"/>
      <c r="B54"/>
      <c r="C54"/>
      <c r="D54"/>
      <c r="E54"/>
      <c r="F54" t="inlineStr">
        <is>
          <t>No empezada</t>
        </is>
      </c>
      <c r="G54" t="inlineStr">
        <is>
          <t>Pendiente</t>
        </is>
      </c>
      <c r="H54"/>
      <c r="I54"/>
      <c r="J54"/>
      <c r="K54">
        <f>IF(AND(ISNUMBER(I54),ISNUMBER(J54)),I54*J54/100,"")</f>
      </c>
      <c r="L54"/>
    </row>
    <row r="55">
      <c r="A55"/>
      <c r="B55"/>
      <c r="C55"/>
      <c r="D55"/>
      <c r="E55"/>
      <c r="F55" t="inlineStr">
        <is>
          <t>No empezada</t>
        </is>
      </c>
      <c r="G55" t="inlineStr">
        <is>
          <t>Pendiente</t>
        </is>
      </c>
      <c r="H55"/>
      <c r="I55"/>
      <c r="J55"/>
      <c r="K55">
        <f>IF(AND(ISNUMBER(I55),ISNUMBER(J55)),I55*J55/100,"")</f>
      </c>
      <c r="L55"/>
    </row>
    <row r="56">
      <c r="A56"/>
      <c r="B56"/>
      <c r="C56"/>
      <c r="D56"/>
      <c r="E56"/>
      <c r="F56" t="inlineStr">
        <is>
          <t>No empezada</t>
        </is>
      </c>
      <c r="G56" t="inlineStr">
        <is>
          <t>Pendiente</t>
        </is>
      </c>
      <c r="H56"/>
      <c r="I56"/>
      <c r="J56"/>
      <c r="K56">
        <f>IF(AND(ISNUMBER(I56),ISNUMBER(J56)),I56*J56/100,"")</f>
      </c>
      <c r="L56"/>
    </row>
    <row r="57">
      <c r="A57"/>
      <c r="B57"/>
      <c r="C57"/>
      <c r="D57"/>
      <c r="E57"/>
      <c r="F57" t="inlineStr">
        <is>
          <t>No empezada</t>
        </is>
      </c>
      <c r="G57" t="inlineStr">
        <is>
          <t>Pendiente</t>
        </is>
      </c>
      <c r="H57"/>
      <c r="I57"/>
      <c r="J57"/>
      <c r="K57">
        <f>IF(AND(ISNUMBER(I57),ISNUMBER(J57)),I57*J57/100,"")</f>
      </c>
      <c r="L57"/>
    </row>
    <row r="58">
      <c r="A58"/>
      <c r="B58"/>
      <c r="C58"/>
      <c r="D58"/>
      <c r="E58"/>
      <c r="F58" t="inlineStr">
        <is>
          <t>No empezada</t>
        </is>
      </c>
      <c r="G58" t="inlineStr">
        <is>
          <t>Pendiente</t>
        </is>
      </c>
      <c r="H58"/>
      <c r="I58"/>
      <c r="J58"/>
      <c r="K58">
        <f>IF(AND(ISNUMBER(I58),ISNUMBER(J58)),I58*J58/100,"")</f>
      </c>
      <c r="L58"/>
    </row>
    <row r="59">
      <c r="A59"/>
      <c r="B59"/>
      <c r="C59"/>
      <c r="D59"/>
      <c r="E59"/>
      <c r="F59" t="inlineStr">
        <is>
          <t>No empezada</t>
        </is>
      </c>
      <c r="G59" t="inlineStr">
        <is>
          <t>Pendiente</t>
        </is>
      </c>
      <c r="H59"/>
      <c r="I59"/>
      <c r="J59"/>
      <c r="K59">
        <f>IF(AND(ISNUMBER(I59),ISNUMBER(J59)),I59*J59/100,"")</f>
      </c>
      <c r="L59"/>
    </row>
    <row r="60">
      <c r="A60"/>
      <c r="B60"/>
      <c r="C60"/>
      <c r="D60"/>
      <c r="E60"/>
      <c r="F60" t="inlineStr">
        <is>
          <t>No empezada</t>
        </is>
      </c>
      <c r="G60" t="inlineStr">
        <is>
          <t>Pendiente</t>
        </is>
      </c>
      <c r="H60"/>
      <c r="I60"/>
      <c r="J60"/>
      <c r="K60">
        <f>IF(AND(ISNUMBER(I60),ISNUMBER(J60)),I60*J60/100,"")</f>
      </c>
      <c r="L60"/>
    </row>
    <row r="61">
      <c r="A61"/>
      <c r="B61"/>
      <c r="C61"/>
      <c r="D61"/>
      <c r="E61"/>
      <c r="F61" t="inlineStr">
        <is>
          <t>No empezada</t>
        </is>
      </c>
      <c r="G61" t="inlineStr">
        <is>
          <t>Pendiente</t>
        </is>
      </c>
      <c r="H61"/>
      <c r="I61"/>
      <c r="J61"/>
      <c r="K61">
        <f>IF(AND(ISNUMBER(I61),ISNUMBER(J61)),I61*J61/100,"")</f>
      </c>
      <c r="L61"/>
    </row>
    <row r="62">
      <c r="A62"/>
      <c r="B62"/>
      <c r="C62"/>
      <c r="D62"/>
      <c r="E62"/>
      <c r="F62" t="inlineStr">
        <is>
          <t>No empezada</t>
        </is>
      </c>
      <c r="G62" t="inlineStr">
        <is>
          <t>Pendiente</t>
        </is>
      </c>
      <c r="H62"/>
      <c r="I62"/>
      <c r="J62"/>
      <c r="K62">
        <f>IF(AND(ISNUMBER(I62),ISNUMBER(J62)),I62*J62/100,"")</f>
      </c>
      <c r="L62"/>
    </row>
    <row r="63">
      <c r="A63"/>
      <c r="B63"/>
      <c r="C63"/>
      <c r="D63"/>
      <c r="E63"/>
      <c r="F63" t="inlineStr">
        <is>
          <t>No empezada</t>
        </is>
      </c>
      <c r="G63" t="inlineStr">
        <is>
          <t>Pendiente</t>
        </is>
      </c>
      <c r="H63"/>
      <c r="I63"/>
      <c r="J63"/>
      <c r="K63">
        <f>IF(AND(ISNUMBER(I63),ISNUMBER(J63)),I63*J63/100,"")</f>
      </c>
      <c r="L63"/>
    </row>
    <row r="64">
      <c r="A64"/>
      <c r="B64"/>
      <c r="C64"/>
      <c r="D64"/>
      <c r="E64"/>
      <c r="F64" t="inlineStr">
        <is>
          <t>No empezada</t>
        </is>
      </c>
      <c r="G64" t="inlineStr">
        <is>
          <t>Pendiente</t>
        </is>
      </c>
      <c r="H64"/>
      <c r="I64"/>
      <c r="J64"/>
      <c r="K64">
        <f>IF(AND(ISNUMBER(I64),ISNUMBER(J64)),I64*J64/100,"")</f>
      </c>
      <c r="L64"/>
    </row>
    <row r="65">
      <c r="A65"/>
      <c r="B65"/>
      <c r="C65"/>
      <c r="D65"/>
      <c r="E65"/>
      <c r="F65" t="inlineStr">
        <is>
          <t>No empezada</t>
        </is>
      </c>
      <c r="G65" t="inlineStr">
        <is>
          <t>Pendiente</t>
        </is>
      </c>
      <c r="H65"/>
      <c r="I65"/>
      <c r="J65"/>
      <c r="K65">
        <f>IF(AND(ISNUMBER(I65),ISNUMBER(J65)),I65*J65/100,"")</f>
      </c>
      <c r="L65"/>
    </row>
    <row r="66">
      <c r="A66"/>
      <c r="B66"/>
      <c r="C66"/>
      <c r="D66"/>
      <c r="E66"/>
      <c r="F66" t="inlineStr">
        <is>
          <t>No empezada</t>
        </is>
      </c>
      <c r="G66" t="inlineStr">
        <is>
          <t>Pendiente</t>
        </is>
      </c>
      <c r="H66"/>
      <c r="I66"/>
      <c r="J66"/>
      <c r="K66">
        <f>IF(AND(ISNUMBER(I66),ISNUMBER(J66)),I66*J66/100,"")</f>
      </c>
      <c r="L66"/>
    </row>
    <row r="67">
      <c r="A67"/>
      <c r="B67"/>
      <c r="C67"/>
      <c r="D67"/>
      <c r="E67"/>
      <c r="F67" t="inlineStr">
        <is>
          <t>No empezada</t>
        </is>
      </c>
      <c r="G67" t="inlineStr">
        <is>
          <t>Pendiente</t>
        </is>
      </c>
      <c r="H67"/>
      <c r="I67"/>
      <c r="J67"/>
      <c r="K67">
        <f>IF(AND(ISNUMBER(I67),ISNUMBER(J67)),I67*J67/100,"")</f>
      </c>
      <c r="L67"/>
    </row>
    <row r="68">
      <c r="A68"/>
      <c r="B68"/>
      <c r="C68"/>
      <c r="D68"/>
      <c r="E68"/>
      <c r="F68" t="inlineStr">
        <is>
          <t>No empezada</t>
        </is>
      </c>
      <c r="G68" t="inlineStr">
        <is>
          <t>Pendiente</t>
        </is>
      </c>
      <c r="H68"/>
      <c r="I68"/>
      <c r="J68"/>
      <c r="K68">
        <f>IF(AND(ISNUMBER(I68),ISNUMBER(J68)),I68*J68/100,"")</f>
      </c>
      <c r="L68"/>
    </row>
    <row r="69">
      <c r="A69"/>
      <c r="B69"/>
      <c r="C69"/>
      <c r="D69"/>
      <c r="E69"/>
      <c r="F69" t="inlineStr">
        <is>
          <t>No empezada</t>
        </is>
      </c>
      <c r="G69" t="inlineStr">
        <is>
          <t>Pendiente</t>
        </is>
      </c>
      <c r="H69"/>
      <c r="I69"/>
      <c r="J69"/>
      <c r="K69">
        <f>IF(AND(ISNUMBER(I69),ISNUMBER(J69)),I69*J69/100,"")</f>
      </c>
      <c r="L69"/>
    </row>
    <row r="70">
      <c r="A70"/>
      <c r="B70"/>
      <c r="C70"/>
      <c r="D70"/>
      <c r="E70"/>
      <c r="F70" t="inlineStr">
        <is>
          <t>No empezada</t>
        </is>
      </c>
      <c r="G70" t="inlineStr">
        <is>
          <t>Pendiente</t>
        </is>
      </c>
      <c r="H70"/>
      <c r="I70"/>
      <c r="J70"/>
      <c r="K70">
        <f>IF(AND(ISNUMBER(I70),ISNUMBER(J70)),I70*J70/100,"")</f>
      </c>
      <c r="L70"/>
    </row>
    <row r="71">
      <c r="A71"/>
      <c r="B71"/>
      <c r="C71"/>
      <c r="D71"/>
      <c r="E71"/>
      <c r="F71" t="inlineStr">
        <is>
          <t>No empezada</t>
        </is>
      </c>
      <c r="G71" t="inlineStr">
        <is>
          <t>Pendiente</t>
        </is>
      </c>
      <c r="H71"/>
      <c r="I71"/>
      <c r="J71"/>
      <c r="K71">
        <f>IF(AND(ISNUMBER(I71),ISNUMBER(J71)),I71*J71/100,"")</f>
      </c>
      <c r="L71"/>
    </row>
    <row r="72">
      <c r="A72"/>
      <c r="B72"/>
      <c r="C72"/>
      <c r="D72"/>
      <c r="E72"/>
      <c r="F72" t="inlineStr">
        <is>
          <t>No empezada</t>
        </is>
      </c>
      <c r="G72" t="inlineStr">
        <is>
          <t>Pendiente</t>
        </is>
      </c>
      <c r="H72"/>
      <c r="I72"/>
      <c r="J72"/>
      <c r="K72">
        <f>IF(AND(ISNUMBER(I72),ISNUMBER(J72)),I72*J72/100,"")</f>
      </c>
      <c r="L72"/>
    </row>
    <row r="73">
      <c r="A73"/>
      <c r="B73"/>
      <c r="C73"/>
      <c r="D73"/>
      <c r="E73"/>
      <c r="F73" t="inlineStr">
        <is>
          <t>No empezada</t>
        </is>
      </c>
      <c r="G73" t="inlineStr">
        <is>
          <t>Pendiente</t>
        </is>
      </c>
      <c r="H73"/>
      <c r="I73"/>
      <c r="J73"/>
      <c r="K73">
        <f>IF(AND(ISNUMBER(I73),ISNUMBER(J73)),I73*J73/100,"")</f>
      </c>
      <c r="L73"/>
    </row>
    <row r="74">
      <c r="A74"/>
      <c r="B74"/>
      <c r="C74"/>
      <c r="D74"/>
      <c r="E74"/>
      <c r="F74" t="inlineStr">
        <is>
          <t>No empezada</t>
        </is>
      </c>
      <c r="G74" t="inlineStr">
        <is>
          <t>Pendiente</t>
        </is>
      </c>
      <c r="H74"/>
      <c r="I74"/>
      <c r="J74"/>
      <c r="K74">
        <f>IF(AND(ISNUMBER(I74),ISNUMBER(J74)),I74*J74/100,"")</f>
      </c>
      <c r="L74"/>
    </row>
    <row r="75">
      <c r="A75"/>
      <c r="B75"/>
      <c r="C75"/>
      <c r="D75"/>
      <c r="E75"/>
      <c r="F75" t="inlineStr">
        <is>
          <t>No empezada</t>
        </is>
      </c>
      <c r="G75" t="inlineStr">
        <is>
          <t>Pendiente</t>
        </is>
      </c>
      <c r="H75"/>
      <c r="I75"/>
      <c r="J75"/>
      <c r="K75">
        <f>IF(AND(ISNUMBER(I75),ISNUMBER(J75)),I75*J75/100,"")</f>
      </c>
      <c r="L75"/>
    </row>
    <row r="76">
      <c r="A76"/>
      <c r="B76"/>
      <c r="C76"/>
      <c r="D76"/>
      <c r="E76"/>
      <c r="F76" t="inlineStr">
        <is>
          <t>No empezada</t>
        </is>
      </c>
      <c r="G76" t="inlineStr">
        <is>
          <t>Pendiente</t>
        </is>
      </c>
      <c r="H76"/>
      <c r="I76"/>
      <c r="J76"/>
      <c r="K76">
        <f>IF(AND(ISNUMBER(I76),ISNUMBER(J76)),I76*J76/100,"")</f>
      </c>
      <c r="L76"/>
    </row>
    <row r="77">
      <c r="A77"/>
      <c r="B77"/>
      <c r="C77"/>
      <c r="D77"/>
      <c r="E77"/>
      <c r="F77" t="inlineStr">
        <is>
          <t>No empezada</t>
        </is>
      </c>
      <c r="G77" t="inlineStr">
        <is>
          <t>Pendiente</t>
        </is>
      </c>
      <c r="H77"/>
      <c r="I77"/>
      <c r="J77"/>
      <c r="K77">
        <f>IF(AND(ISNUMBER(I77),ISNUMBER(J77)),I77*J77/100,"")</f>
      </c>
      <c r="L77"/>
    </row>
    <row r="78">
      <c r="A78"/>
      <c r="B78"/>
      <c r="C78"/>
      <c r="D78"/>
      <c r="E78"/>
      <c r="F78" t="inlineStr">
        <is>
          <t>No empezada</t>
        </is>
      </c>
      <c r="G78" t="inlineStr">
        <is>
          <t>Pendiente</t>
        </is>
      </c>
      <c r="H78"/>
      <c r="I78"/>
      <c r="J78"/>
      <c r="K78">
        <f>IF(AND(ISNUMBER(I78),ISNUMBER(J78)),I78*J78/100,"")</f>
      </c>
      <c r="L78"/>
    </row>
    <row r="79">
      <c r="A79"/>
      <c r="B79"/>
      <c r="C79"/>
      <c r="D79"/>
      <c r="E79"/>
      <c r="F79" t="inlineStr">
        <is>
          <t>No empezada</t>
        </is>
      </c>
      <c r="G79" t="inlineStr">
        <is>
          <t>Pendiente</t>
        </is>
      </c>
      <c r="H79"/>
      <c r="I79"/>
      <c r="J79"/>
      <c r="K79">
        <f>IF(AND(ISNUMBER(I79),ISNUMBER(J79)),I79*J79/100,"")</f>
      </c>
      <c r="L79"/>
    </row>
    <row r="80">
      <c r="A80"/>
      <c r="B80"/>
      <c r="C80"/>
      <c r="D80"/>
      <c r="E80"/>
      <c r="F80" t="inlineStr">
        <is>
          <t>No empezada</t>
        </is>
      </c>
      <c r="G80" t="inlineStr">
        <is>
          <t>Pendiente</t>
        </is>
      </c>
      <c r="H80"/>
      <c r="I80"/>
      <c r="J80"/>
      <c r="K80">
        <f>IF(AND(ISNUMBER(I80),ISNUMBER(J80)),I80*J80/100,"")</f>
      </c>
      <c r="L80"/>
    </row>
    <row r="81">
      <c r="A81"/>
      <c r="B81"/>
      <c r="C81"/>
      <c r="D81"/>
      <c r="E81"/>
      <c r="F81" t="inlineStr">
        <is>
          <t>No empezada</t>
        </is>
      </c>
      <c r="G81" t="inlineStr">
        <is>
          <t>Pendiente</t>
        </is>
      </c>
      <c r="H81"/>
      <c r="I81"/>
      <c r="J81"/>
      <c r="K81">
        <f>IF(AND(ISNUMBER(I81),ISNUMBER(J81)),I81*J81/100,"")</f>
      </c>
      <c r="L81"/>
    </row>
    <row r="82">
      <c r="A82"/>
      <c r="B82"/>
      <c r="C82"/>
      <c r="D82"/>
      <c r="E82"/>
      <c r="F82" t="inlineStr">
        <is>
          <t>No empezada</t>
        </is>
      </c>
      <c r="G82" t="inlineStr">
        <is>
          <t>Pendiente</t>
        </is>
      </c>
      <c r="H82"/>
      <c r="I82"/>
      <c r="J82"/>
      <c r="K82">
        <f>IF(AND(ISNUMBER(I82),ISNUMBER(J82)),I82*J82/100,"")</f>
      </c>
      <c r="L82"/>
    </row>
    <row r="83">
      <c r="A83"/>
      <c r="B83"/>
      <c r="C83"/>
      <c r="D83"/>
      <c r="E83"/>
      <c r="F83" t="inlineStr">
        <is>
          <t>No empezada</t>
        </is>
      </c>
      <c r="G83" t="inlineStr">
        <is>
          <t>Pendiente</t>
        </is>
      </c>
      <c r="H83"/>
      <c r="I83"/>
      <c r="J83"/>
      <c r="K83">
        <f>IF(AND(ISNUMBER(I83),ISNUMBER(J83)),I83*J83/100,"")</f>
      </c>
      <c r="L83"/>
    </row>
    <row r="84">
      <c r="A84"/>
      <c r="B84"/>
      <c r="C84"/>
      <c r="D84"/>
      <c r="E84"/>
      <c r="F84" t="inlineStr">
        <is>
          <t>No empezada</t>
        </is>
      </c>
      <c r="G84" t="inlineStr">
        <is>
          <t>Pendiente</t>
        </is>
      </c>
      <c r="H84"/>
      <c r="I84"/>
      <c r="J84"/>
      <c r="K84">
        <f>IF(AND(ISNUMBER(I84),ISNUMBER(J84)),I84*J84/100,"")</f>
      </c>
      <c r="L84"/>
    </row>
    <row r="85">
      <c r="A85"/>
      <c r="B85"/>
      <c r="C85"/>
      <c r="D85"/>
      <c r="E85"/>
      <c r="F85" t="inlineStr">
        <is>
          <t>No empezada</t>
        </is>
      </c>
      <c r="G85" t="inlineStr">
        <is>
          <t>Pendiente</t>
        </is>
      </c>
      <c r="H85"/>
      <c r="I85"/>
      <c r="J85"/>
      <c r="K85">
        <f>IF(AND(ISNUMBER(I85),ISNUMBER(J85)),I85*J85/100,"")</f>
      </c>
      <c r="L85"/>
    </row>
    <row r="86">
      <c r="A86"/>
      <c r="B86"/>
      <c r="C86"/>
      <c r="D86"/>
      <c r="E86"/>
      <c r="F86" t="inlineStr">
        <is>
          <t>No empezada</t>
        </is>
      </c>
      <c r="G86" t="inlineStr">
        <is>
          <t>Pendiente</t>
        </is>
      </c>
      <c r="H86"/>
      <c r="I86"/>
      <c r="J86"/>
      <c r="K86">
        <f>IF(AND(ISNUMBER(I86),ISNUMBER(J86)),I86*J86/100,"")</f>
      </c>
      <c r="L86"/>
    </row>
    <row r="87">
      <c r="A87"/>
      <c r="B87"/>
      <c r="C87"/>
      <c r="D87"/>
      <c r="E87"/>
      <c r="F87" t="inlineStr">
        <is>
          <t>No empezada</t>
        </is>
      </c>
      <c r="G87" t="inlineStr">
        <is>
          <t>Pendiente</t>
        </is>
      </c>
      <c r="H87"/>
      <c r="I87"/>
      <c r="J87"/>
      <c r="K87">
        <f>IF(AND(ISNUMBER(I87),ISNUMBER(J87)),I87*J87/100,"")</f>
      </c>
      <c r="L87"/>
    </row>
    <row r="88">
      <c r="A88"/>
      <c r="B88"/>
      <c r="C88"/>
      <c r="D88"/>
      <c r="E88"/>
      <c r="F88" t="inlineStr">
        <is>
          <t>No empezada</t>
        </is>
      </c>
      <c r="G88" t="inlineStr">
        <is>
          <t>Pendiente</t>
        </is>
      </c>
      <c r="H88"/>
      <c r="I88"/>
      <c r="J88"/>
      <c r="K88">
        <f>IF(AND(ISNUMBER(I88),ISNUMBER(J88)),I88*J88/100,"")</f>
      </c>
      <c r="L88"/>
    </row>
    <row r="89">
      <c r="A89"/>
      <c r="B89"/>
      <c r="C89"/>
      <c r="D89"/>
      <c r="E89"/>
      <c r="F89" t="inlineStr">
        <is>
          <t>No empezada</t>
        </is>
      </c>
      <c r="G89" t="inlineStr">
        <is>
          <t>Pendiente</t>
        </is>
      </c>
      <c r="H89"/>
      <c r="I89"/>
      <c r="J89"/>
      <c r="K89">
        <f>IF(AND(ISNUMBER(I89),ISNUMBER(J89)),I89*J89/100,"")</f>
      </c>
      <c r="L89"/>
    </row>
    <row r="90">
      <c r="A90"/>
      <c r="B90"/>
      <c r="C90"/>
      <c r="D90"/>
      <c r="E90"/>
      <c r="F90" t="inlineStr">
        <is>
          <t>No empezada</t>
        </is>
      </c>
      <c r="G90" t="inlineStr">
        <is>
          <t>Pendiente</t>
        </is>
      </c>
      <c r="H90"/>
      <c r="I90"/>
      <c r="J90"/>
      <c r="K90">
        <f>IF(AND(ISNUMBER(I90),ISNUMBER(J90)),I90*J90/100,"")</f>
      </c>
      <c r="L90"/>
    </row>
    <row r="91">
      <c r="A91"/>
      <c r="B91"/>
      <c r="C91"/>
      <c r="D91"/>
      <c r="E91"/>
      <c r="F91" t="inlineStr">
        <is>
          <t>No empezada</t>
        </is>
      </c>
      <c r="G91" t="inlineStr">
        <is>
          <t>Pendiente</t>
        </is>
      </c>
      <c r="H91"/>
      <c r="I91"/>
      <c r="J91"/>
      <c r="K91">
        <f>IF(AND(ISNUMBER(I91),ISNUMBER(J91)),I91*J91/100,"")</f>
      </c>
      <c r="L91"/>
    </row>
    <row r="92">
      <c r="A92"/>
      <c r="B92"/>
      <c r="C92"/>
      <c r="D92"/>
      <c r="E92"/>
      <c r="F92" t="inlineStr">
        <is>
          <t>No empezada</t>
        </is>
      </c>
      <c r="G92" t="inlineStr">
        <is>
          <t>Pendiente</t>
        </is>
      </c>
      <c r="H92"/>
      <c r="I92"/>
      <c r="J92"/>
      <c r="K92">
        <f>IF(AND(ISNUMBER(I92),ISNUMBER(J92)),I92*J92/100,"")</f>
      </c>
      <c r="L92"/>
    </row>
    <row r="93">
      <c r="A93"/>
      <c r="B93"/>
      <c r="C93"/>
      <c r="D93"/>
      <c r="E93"/>
      <c r="F93" t="inlineStr">
        <is>
          <t>No empezada</t>
        </is>
      </c>
      <c r="G93" t="inlineStr">
        <is>
          <t>Pendiente</t>
        </is>
      </c>
      <c r="H93"/>
      <c r="I93"/>
      <c r="J93"/>
      <c r="K93">
        <f>IF(AND(ISNUMBER(I93),ISNUMBER(J93)),I93*J93/100,"")</f>
      </c>
      <c r="L93"/>
    </row>
    <row r="94">
      <c r="A94"/>
      <c r="B94"/>
      <c r="C94"/>
      <c r="D94"/>
      <c r="E94"/>
      <c r="F94" t="inlineStr">
        <is>
          <t>No empezada</t>
        </is>
      </c>
      <c r="G94" t="inlineStr">
        <is>
          <t>Pendiente</t>
        </is>
      </c>
      <c r="H94"/>
      <c r="I94"/>
      <c r="J94"/>
      <c r="K94">
        <f>IF(AND(ISNUMBER(I94),ISNUMBER(J94)),I94*J94/100,"")</f>
      </c>
      <c r="L94"/>
    </row>
    <row r="95">
      <c r="A95"/>
      <c r="B95"/>
      <c r="C95"/>
      <c r="D95"/>
      <c r="E95"/>
      <c r="F95" t="inlineStr">
        <is>
          <t>No empezada</t>
        </is>
      </c>
      <c r="G95" t="inlineStr">
        <is>
          <t>Pendiente</t>
        </is>
      </c>
      <c r="H95"/>
      <c r="I95"/>
      <c r="J95"/>
      <c r="K95">
        <f>IF(AND(ISNUMBER(I95),ISNUMBER(J95)),I95*J95/100,"")</f>
      </c>
      <c r="L95"/>
    </row>
    <row r="96">
      <c r="A96"/>
      <c r="B96"/>
      <c r="C96"/>
      <c r="D96"/>
      <c r="E96"/>
      <c r="F96" t="inlineStr">
        <is>
          <t>No empezada</t>
        </is>
      </c>
      <c r="G96" t="inlineStr">
        <is>
          <t>Pendiente</t>
        </is>
      </c>
      <c r="H96"/>
      <c r="I96"/>
      <c r="J96"/>
      <c r="K96">
        <f>IF(AND(ISNUMBER(I96),ISNUMBER(J96)),I96*J96/100,"")</f>
      </c>
      <c r="L96"/>
    </row>
    <row r="97">
      <c r="A97"/>
      <c r="B97"/>
      <c r="C97"/>
      <c r="D97"/>
      <c r="E97"/>
      <c r="F97" t="inlineStr">
        <is>
          <t>No empezada</t>
        </is>
      </c>
      <c r="G97" t="inlineStr">
        <is>
          <t>Pendiente</t>
        </is>
      </c>
      <c r="H97"/>
      <c r="I97"/>
      <c r="J97"/>
      <c r="K97">
        <f>IF(AND(ISNUMBER(I97),ISNUMBER(J97)),I97*J97/100,"")</f>
      </c>
      <c r="L97"/>
    </row>
    <row r="98">
      <c r="A98"/>
      <c r="B98"/>
      <c r="C98"/>
      <c r="D98"/>
      <c r="E98"/>
      <c r="F98" t="inlineStr">
        <is>
          <t>No empezada</t>
        </is>
      </c>
      <c r="G98" t="inlineStr">
        <is>
          <t>Pendiente</t>
        </is>
      </c>
      <c r="H98"/>
      <c r="I98"/>
      <c r="J98"/>
      <c r="K98">
        <f>IF(AND(ISNUMBER(I98),ISNUMBER(J98)),I98*J98/100,"")</f>
      </c>
      <c r="L98"/>
    </row>
    <row r="99">
      <c r="A99"/>
      <c r="B99"/>
      <c r="C99"/>
      <c r="D99"/>
      <c r="E99"/>
      <c r="F99" t="inlineStr">
        <is>
          <t>No empezada</t>
        </is>
      </c>
      <c r="G99" t="inlineStr">
        <is>
          <t>Pendiente</t>
        </is>
      </c>
      <c r="H99"/>
      <c r="I99"/>
      <c r="J99"/>
      <c r="K99">
        <f>IF(AND(ISNUMBER(I99),ISNUMBER(J99)),I99*J99/100,"")</f>
      </c>
      <c r="L99"/>
    </row>
    <row r="100">
      <c r="A100"/>
      <c r="B100"/>
      <c r="C100"/>
      <c r="D100"/>
      <c r="E100"/>
      <c r="F100" t="inlineStr">
        <is>
          <t>No empezada</t>
        </is>
      </c>
      <c r="G100" t="inlineStr">
        <is>
          <t>Pendiente</t>
        </is>
      </c>
      <c r="H100"/>
      <c r="I100"/>
      <c r="J100"/>
      <c r="K100">
        <f>IF(AND(ISNUMBER(I100),ISNUMBER(J100)),I100*J100/100,"")</f>
      </c>
      <c r="L100"/>
    </row>
    <row r="101">
      <c r="A101"/>
      <c r="B101"/>
      <c r="C101"/>
      <c r="D101"/>
      <c r="E101"/>
      <c r="F101" t="inlineStr">
        <is>
          <t>No empezada</t>
        </is>
      </c>
      <c r="G101" t="inlineStr">
        <is>
          <t>Pendiente</t>
        </is>
      </c>
      <c r="H101"/>
      <c r="I101"/>
      <c r="J101"/>
      <c r="K101">
        <f>IF(AND(ISNUMBER(I101),ISNUMBER(J101)),I101*J101/100,"")</f>
      </c>
      <c r="L101"/>
    </row>
    <row r="102">
      <c r="A102"/>
      <c r="B102"/>
      <c r="C102"/>
      <c r="D102"/>
      <c r="E102"/>
      <c r="F102" t="inlineStr">
        <is>
          <t>No empezada</t>
        </is>
      </c>
      <c r="G102" t="inlineStr">
        <is>
          <t>Pendiente</t>
        </is>
      </c>
      <c r="H102"/>
      <c r="I102"/>
      <c r="J102"/>
      <c r="K102">
        <f>IF(AND(ISNUMBER(I102),ISNUMBER(J102)),I102*J102/100,"")</f>
      </c>
      <c r="L102"/>
    </row>
    <row r="103">
      <c r="A103"/>
      <c r="B103"/>
      <c r="C103"/>
      <c r="D103"/>
      <c r="E103"/>
      <c r="F103" t="inlineStr">
        <is>
          <t>No empezada</t>
        </is>
      </c>
      <c r="G103" t="inlineStr">
        <is>
          <t>Pendiente</t>
        </is>
      </c>
      <c r="H103"/>
      <c r="I103"/>
      <c r="J103"/>
      <c r="K103">
        <f>IF(AND(ISNUMBER(I103),ISNUMBER(J103)),I103*J103/100,"")</f>
      </c>
      <c r="L103"/>
    </row>
    <row r="104">
      <c r="A104"/>
      <c r="B104"/>
      <c r="C104"/>
      <c r="D104"/>
      <c r="E104"/>
      <c r="F104" t="inlineStr">
        <is>
          <t>No empezada</t>
        </is>
      </c>
      <c r="G104" t="inlineStr">
        <is>
          <t>Pendiente</t>
        </is>
      </c>
      <c r="H104"/>
      <c r="I104"/>
      <c r="J104"/>
      <c r="K104">
        <f>IF(AND(ISNUMBER(I104),ISNUMBER(J104)),I104*J104/100,"")</f>
      </c>
      <c r="L104"/>
    </row>
    <row r="105">
      <c r="A105"/>
      <c r="B105"/>
      <c r="C105"/>
      <c r="D105"/>
      <c r="E105"/>
      <c r="F105" t="inlineStr">
        <is>
          <t>No empezada</t>
        </is>
      </c>
      <c r="G105" t="inlineStr">
        <is>
          <t>Pendiente</t>
        </is>
      </c>
      <c r="H105"/>
      <c r="I105"/>
      <c r="J105"/>
      <c r="K105">
        <f>IF(AND(ISNUMBER(I105),ISNUMBER(J105)),I105*J105/100,"")</f>
      </c>
      <c r="L105"/>
    </row>
    <row r="106">
      <c r="A106"/>
      <c r="B106"/>
      <c r="C106"/>
      <c r="D106"/>
      <c r="E106"/>
      <c r="F106" t="inlineStr">
        <is>
          <t>No empezada</t>
        </is>
      </c>
      <c r="G106" t="inlineStr">
        <is>
          <t>Pendiente</t>
        </is>
      </c>
      <c r="H106"/>
      <c r="I106"/>
      <c r="J106"/>
      <c r="K106">
        <f>IF(AND(ISNUMBER(I106),ISNUMBER(J106)),I106*J106/100,"")</f>
      </c>
      <c r="L106"/>
    </row>
    <row r="107">
      <c r="A107"/>
      <c r="B107"/>
      <c r="C107"/>
      <c r="D107"/>
      <c r="E107"/>
      <c r="F107" t="inlineStr">
        <is>
          <t>No empezada</t>
        </is>
      </c>
      <c r="G107" t="inlineStr">
        <is>
          <t>Pendiente</t>
        </is>
      </c>
      <c r="H107"/>
      <c r="I107"/>
      <c r="J107"/>
      <c r="K107">
        <f>IF(AND(ISNUMBER(I107),ISNUMBER(J107)),I107*J107/100,"")</f>
      </c>
      <c r="L107"/>
    </row>
    <row r="108">
      <c r="A108"/>
      <c r="B108"/>
      <c r="C108"/>
      <c r="D108"/>
      <c r="E108"/>
      <c r="F108" t="inlineStr">
        <is>
          <t>No empezada</t>
        </is>
      </c>
      <c r="G108" t="inlineStr">
        <is>
          <t>Pendiente</t>
        </is>
      </c>
      <c r="H108"/>
      <c r="I108"/>
      <c r="J108"/>
      <c r="K108">
        <f>IF(AND(ISNUMBER(I108),ISNUMBER(J108)),I108*J108/100,"")</f>
      </c>
      <c r="L108"/>
    </row>
    <row r="109">
      <c r="A109"/>
      <c r="B109"/>
      <c r="C109"/>
      <c r="D109"/>
      <c r="E109"/>
      <c r="F109" t="inlineStr">
        <is>
          <t>No empezada</t>
        </is>
      </c>
      <c r="G109" t="inlineStr">
        <is>
          <t>Pendiente</t>
        </is>
      </c>
      <c r="H109"/>
      <c r="I109"/>
      <c r="J109"/>
      <c r="K109">
        <f>IF(AND(ISNUMBER(I109),ISNUMBER(J109)),I109*J109/100,"")</f>
      </c>
      <c r="L109"/>
    </row>
    <row r="110">
      <c r="A110"/>
      <c r="B110"/>
      <c r="C110"/>
      <c r="D110"/>
      <c r="E110"/>
      <c r="F110" t="inlineStr">
        <is>
          <t>No empezada</t>
        </is>
      </c>
      <c r="G110" t="inlineStr">
        <is>
          <t>Pendiente</t>
        </is>
      </c>
      <c r="H110"/>
      <c r="I110"/>
      <c r="J110"/>
      <c r="K110">
        <f>IF(AND(ISNUMBER(I110),ISNUMBER(J110)),I110*J110/100,"")</f>
      </c>
      <c r="L110"/>
    </row>
    <row r="111">
      <c r="A111"/>
      <c r="B111"/>
      <c r="C111"/>
      <c r="D111"/>
      <c r="E111"/>
      <c r="F111" t="inlineStr">
        <is>
          <t>No empezada</t>
        </is>
      </c>
      <c r="G111" t="inlineStr">
        <is>
          <t>Pendiente</t>
        </is>
      </c>
      <c r="H111"/>
      <c r="I111"/>
      <c r="J111"/>
      <c r="K111">
        <f>IF(AND(ISNUMBER(I111),ISNUMBER(J111)),I111*J111/100,"")</f>
      </c>
      <c r="L111"/>
    </row>
    <row r="112">
      <c r="A112"/>
      <c r="B112"/>
      <c r="C112"/>
      <c r="D112"/>
      <c r="E112"/>
      <c r="F112" t="inlineStr">
        <is>
          <t>No empezada</t>
        </is>
      </c>
      <c r="G112" t="inlineStr">
        <is>
          <t>Pendiente</t>
        </is>
      </c>
      <c r="H112"/>
      <c r="I112"/>
      <c r="J112"/>
      <c r="K112">
        <f>IF(AND(ISNUMBER(I112),ISNUMBER(J112)),I112*J112/100,"")</f>
      </c>
      <c r="L112"/>
    </row>
    <row r="113">
      <c r="A113"/>
      <c r="B113"/>
      <c r="C113"/>
      <c r="D113"/>
      <c r="E113"/>
      <c r="F113" t="inlineStr">
        <is>
          <t>No empezada</t>
        </is>
      </c>
      <c r="G113" t="inlineStr">
        <is>
          <t>Pendiente</t>
        </is>
      </c>
      <c r="H113"/>
      <c r="I113"/>
      <c r="J113"/>
      <c r="K113">
        <f>IF(AND(ISNUMBER(I113),ISNUMBER(J113)),I113*J113/100,"")</f>
      </c>
      <c r="L113"/>
    </row>
    <row r="114">
      <c r="A114"/>
      <c r="B114"/>
      <c r="C114"/>
      <c r="D114"/>
      <c r="E114"/>
      <c r="F114" t="inlineStr">
        <is>
          <t>No empezada</t>
        </is>
      </c>
      <c r="G114" t="inlineStr">
        <is>
          <t>Pendiente</t>
        </is>
      </c>
      <c r="H114"/>
      <c r="I114"/>
      <c r="J114"/>
      <c r="K114">
        <f>IF(AND(ISNUMBER(I114),ISNUMBER(J114)),I114*J114/100,"")</f>
      </c>
      <c r="L114"/>
    </row>
    <row r="115">
      <c r="A115"/>
      <c r="B115"/>
      <c r="C115"/>
      <c r="D115"/>
      <c r="E115"/>
      <c r="F115" t="inlineStr">
        <is>
          <t>No empezada</t>
        </is>
      </c>
      <c r="G115" t="inlineStr">
        <is>
          <t>Pendiente</t>
        </is>
      </c>
      <c r="H115"/>
      <c r="I115"/>
      <c r="J115"/>
      <c r="K115">
        <f>IF(AND(ISNUMBER(I115),ISNUMBER(J115)),I115*J115/100,"")</f>
      </c>
      <c r="L115"/>
    </row>
    <row r="116">
      <c r="A116"/>
      <c r="B116"/>
      <c r="C116"/>
      <c r="D116"/>
      <c r="E116"/>
      <c r="F116" t="inlineStr">
        <is>
          <t>No empezada</t>
        </is>
      </c>
      <c r="G116" t="inlineStr">
        <is>
          <t>Pendiente</t>
        </is>
      </c>
      <c r="H116"/>
      <c r="I116"/>
      <c r="J116"/>
      <c r="K116">
        <f>IF(AND(ISNUMBER(I116),ISNUMBER(J116)),I116*J116/100,"")</f>
      </c>
      <c r="L116"/>
    </row>
    <row r="117">
      <c r="A117"/>
      <c r="B117"/>
      <c r="C117"/>
      <c r="D117"/>
      <c r="E117"/>
      <c r="F117" t="inlineStr">
        <is>
          <t>No empezada</t>
        </is>
      </c>
      <c r="G117" t="inlineStr">
        <is>
          <t>Pendiente</t>
        </is>
      </c>
      <c r="H117"/>
      <c r="I117"/>
      <c r="J117"/>
      <c r="K117">
        <f>IF(AND(ISNUMBER(I117),ISNUMBER(J117)),I117*J117/100,"")</f>
      </c>
      <c r="L117"/>
    </row>
    <row r="118">
      <c r="A118"/>
      <c r="B118"/>
      <c r="C118"/>
      <c r="D118"/>
      <c r="E118"/>
      <c r="F118" t="inlineStr">
        <is>
          <t>No empezada</t>
        </is>
      </c>
      <c r="G118" t="inlineStr">
        <is>
          <t>Pendiente</t>
        </is>
      </c>
      <c r="H118"/>
      <c r="I118"/>
      <c r="J118"/>
      <c r="K118">
        <f>IF(AND(ISNUMBER(I118),ISNUMBER(J118)),I118*J118/100,"")</f>
      </c>
      <c r="L118"/>
    </row>
    <row r="119">
      <c r="A119"/>
      <c r="B119"/>
      <c r="C119"/>
      <c r="D119"/>
      <c r="E119"/>
      <c r="F119" t="inlineStr">
        <is>
          <t>No empezada</t>
        </is>
      </c>
      <c r="G119" t="inlineStr">
        <is>
          <t>Pendiente</t>
        </is>
      </c>
      <c r="H119"/>
      <c r="I119"/>
      <c r="J119"/>
      <c r="K119">
        <f>IF(AND(ISNUMBER(I119),ISNUMBER(J119)),I119*J119/100,"")</f>
      </c>
      <c r="L119"/>
    </row>
    <row r="120">
      <c r="A120"/>
      <c r="B120"/>
      <c r="C120"/>
      <c r="D120"/>
      <c r="E120"/>
      <c r="F120" t="inlineStr">
        <is>
          <t>No empezada</t>
        </is>
      </c>
      <c r="G120" t="inlineStr">
        <is>
          <t>Pendiente</t>
        </is>
      </c>
      <c r="H120"/>
      <c r="I120"/>
      <c r="J120"/>
      <c r="K120">
        <f>IF(AND(ISNUMBER(I120),ISNUMBER(J120)),I120*J120/100,"")</f>
      </c>
      <c r="L120"/>
    </row>
    <row r="121">
      <c r="A121"/>
      <c r="B121"/>
      <c r="C121"/>
      <c r="D121"/>
      <c r="E121"/>
      <c r="F121" t="inlineStr">
        <is>
          <t>No empezada</t>
        </is>
      </c>
      <c r="G121" t="inlineStr">
        <is>
          <t>Pendiente</t>
        </is>
      </c>
      <c r="H121"/>
      <c r="I121"/>
      <c r="J121"/>
      <c r="K121">
        <f>IF(AND(ISNUMBER(I121),ISNUMBER(J121)),I121*J121/100,"")</f>
      </c>
      <c r="L121"/>
    </row>
    <row r="122">
      <c r="A122"/>
      <c r="B122"/>
      <c r="C122"/>
      <c r="D122"/>
      <c r="E122"/>
      <c r="F122" t="inlineStr">
        <is>
          <t>No empezada</t>
        </is>
      </c>
      <c r="G122" t="inlineStr">
        <is>
          <t>Pendiente</t>
        </is>
      </c>
      <c r="H122"/>
      <c r="I122"/>
      <c r="J122"/>
      <c r="K122">
        <f>IF(AND(ISNUMBER(I122),ISNUMBER(J122)),I122*J122/100,"")</f>
      </c>
      <c r="L122"/>
    </row>
    <row r="123">
      <c r="A123"/>
      <c r="B123"/>
      <c r="C123"/>
      <c r="D123"/>
      <c r="E123"/>
      <c r="F123" t="inlineStr">
        <is>
          <t>No empezada</t>
        </is>
      </c>
      <c r="G123" t="inlineStr">
        <is>
          <t>Pendiente</t>
        </is>
      </c>
      <c r="H123"/>
      <c r="I123"/>
      <c r="J123"/>
      <c r="K123">
        <f>IF(AND(ISNUMBER(I123),ISNUMBER(J123)),I123*J123/100,"")</f>
      </c>
      <c r="L123"/>
    </row>
    <row r="124">
      <c r="A124"/>
      <c r="B124"/>
      <c r="C124"/>
      <c r="D124"/>
      <c r="E124"/>
      <c r="F124" t="inlineStr">
        <is>
          <t>No empezada</t>
        </is>
      </c>
      <c r="G124" t="inlineStr">
        <is>
          <t>Pendiente</t>
        </is>
      </c>
      <c r="H124"/>
      <c r="I124"/>
      <c r="J124"/>
      <c r="K124">
        <f>IF(AND(ISNUMBER(I124),ISNUMBER(J124)),I124*J124/100,"")</f>
      </c>
      <c r="L124"/>
    </row>
    <row r="125">
      <c r="A125"/>
      <c r="B125"/>
      <c r="C125"/>
      <c r="D125"/>
      <c r="E125"/>
      <c r="F125" t="inlineStr">
        <is>
          <t>No empezada</t>
        </is>
      </c>
      <c r="G125" t="inlineStr">
        <is>
          <t>Pendiente</t>
        </is>
      </c>
      <c r="H125"/>
      <c r="I125"/>
      <c r="J125"/>
      <c r="K125">
        <f>IF(AND(ISNUMBER(I125),ISNUMBER(J125)),I125*J125/100,"")</f>
      </c>
      <c r="L125"/>
    </row>
    <row r="126">
      <c r="A126"/>
      <c r="B126"/>
      <c r="C126"/>
      <c r="D126"/>
      <c r="E126"/>
      <c r="F126" t="inlineStr">
        <is>
          <t>No empezada</t>
        </is>
      </c>
      <c r="G126" t="inlineStr">
        <is>
          <t>Pendiente</t>
        </is>
      </c>
      <c r="H126"/>
      <c r="I126"/>
      <c r="J126"/>
      <c r="K126">
        <f>IF(AND(ISNUMBER(I126),ISNUMBER(J126)),I126*J126/100,"")</f>
      </c>
      <c r="L126"/>
    </row>
    <row r="127">
      <c r="A127"/>
      <c r="B127"/>
      <c r="C127"/>
      <c r="D127"/>
      <c r="E127"/>
      <c r="F127" t="inlineStr">
        <is>
          <t>No empezada</t>
        </is>
      </c>
      <c r="G127" t="inlineStr">
        <is>
          <t>Pendiente</t>
        </is>
      </c>
      <c r="H127"/>
      <c r="I127"/>
      <c r="J127"/>
      <c r="K127">
        <f>IF(AND(ISNUMBER(I127),ISNUMBER(J127)),I127*J127/100,"")</f>
      </c>
      <c r="L127"/>
    </row>
    <row r="128">
      <c r="A128"/>
      <c r="B128"/>
      <c r="C128"/>
      <c r="D128"/>
      <c r="E128"/>
      <c r="F128" t="inlineStr">
        <is>
          <t>No empezada</t>
        </is>
      </c>
      <c r="G128" t="inlineStr">
        <is>
          <t>Pendiente</t>
        </is>
      </c>
      <c r="H128"/>
      <c r="I128"/>
      <c r="J128"/>
      <c r="K128">
        <f>IF(AND(ISNUMBER(I128),ISNUMBER(J128)),I128*J128/100,"")</f>
      </c>
      <c r="L128"/>
    </row>
    <row r="129">
      <c r="A129"/>
      <c r="B129"/>
      <c r="C129"/>
      <c r="D129"/>
      <c r="E129"/>
      <c r="F129" t="inlineStr">
        <is>
          <t>No empezada</t>
        </is>
      </c>
      <c r="G129" t="inlineStr">
        <is>
          <t>Pendiente</t>
        </is>
      </c>
      <c r="H129"/>
      <c r="I129"/>
      <c r="J129"/>
      <c r="K129">
        <f>IF(AND(ISNUMBER(I129),ISNUMBER(J129)),I129*J129/100,"")</f>
      </c>
      <c r="L129"/>
    </row>
    <row r="130">
      <c r="A130"/>
      <c r="B130"/>
      <c r="C130"/>
      <c r="D130"/>
      <c r="E130"/>
      <c r="F130" t="inlineStr">
        <is>
          <t>No empezada</t>
        </is>
      </c>
      <c r="G130" t="inlineStr">
        <is>
          <t>Pendiente</t>
        </is>
      </c>
      <c r="H130"/>
      <c r="I130"/>
      <c r="J130"/>
      <c r="K130">
        <f>IF(AND(ISNUMBER(I130),ISNUMBER(J130)),I130*J130/100,"")</f>
      </c>
      <c r="L130"/>
    </row>
    <row r="131">
      <c r="A131"/>
      <c r="B131"/>
      <c r="C131"/>
      <c r="D131"/>
      <c r="E131"/>
      <c r="F131" t="inlineStr">
        <is>
          <t>No empezada</t>
        </is>
      </c>
      <c r="G131" t="inlineStr">
        <is>
          <t>Pendiente</t>
        </is>
      </c>
      <c r="H131"/>
      <c r="I131"/>
      <c r="J131"/>
      <c r="K131">
        <f>IF(AND(ISNUMBER(I131),ISNUMBER(J131)),I131*J131/100,"")</f>
      </c>
      <c r="L131"/>
    </row>
    <row r="132">
      <c r="A132"/>
      <c r="B132"/>
      <c r="C132"/>
      <c r="D132"/>
      <c r="E132"/>
      <c r="F132" t="inlineStr">
        <is>
          <t>No empezada</t>
        </is>
      </c>
      <c r="G132" t="inlineStr">
        <is>
          <t>Pendiente</t>
        </is>
      </c>
      <c r="H132"/>
      <c r="I132"/>
      <c r="J132"/>
      <c r="K132">
        <f>IF(AND(ISNUMBER(I132),ISNUMBER(J132)),I132*J132/100,"")</f>
      </c>
      <c r="L132"/>
    </row>
    <row r="133">
      <c r="A133"/>
      <c r="B133"/>
      <c r="C133"/>
      <c r="D133"/>
      <c r="E133"/>
      <c r="F133" t="inlineStr">
        <is>
          <t>No empezada</t>
        </is>
      </c>
      <c r="G133" t="inlineStr">
        <is>
          <t>Pendiente</t>
        </is>
      </c>
      <c r="H133"/>
      <c r="I133"/>
      <c r="J133"/>
      <c r="K133">
        <f>IF(AND(ISNUMBER(I133),ISNUMBER(J133)),I133*J133/100,"")</f>
      </c>
      <c r="L133"/>
    </row>
    <row r="134">
      <c r="A134"/>
      <c r="B134"/>
      <c r="C134"/>
      <c r="D134"/>
      <c r="E134"/>
      <c r="F134" t="inlineStr">
        <is>
          <t>No empezada</t>
        </is>
      </c>
      <c r="G134" t="inlineStr">
        <is>
          <t>Pendiente</t>
        </is>
      </c>
      <c r="H134"/>
      <c r="I134"/>
      <c r="J134"/>
      <c r="K134">
        <f>IF(AND(ISNUMBER(I134),ISNUMBER(J134)),I134*J134/100,"")</f>
      </c>
      <c r="L134"/>
    </row>
    <row r="135">
      <c r="A135"/>
      <c r="B135"/>
      <c r="C135"/>
      <c r="D135"/>
      <c r="E135"/>
      <c r="F135" t="inlineStr">
        <is>
          <t>No empezada</t>
        </is>
      </c>
      <c r="G135" t="inlineStr">
        <is>
          <t>Pendiente</t>
        </is>
      </c>
      <c r="H135"/>
      <c r="I135"/>
      <c r="J135"/>
      <c r="K135">
        <f>IF(AND(ISNUMBER(I135),ISNUMBER(J135)),I135*J135/100,"")</f>
      </c>
      <c r="L135"/>
    </row>
    <row r="136">
      <c r="A136"/>
      <c r="B136"/>
      <c r="C136"/>
      <c r="D136"/>
      <c r="E136"/>
      <c r="F136" t="inlineStr">
        <is>
          <t>No empezada</t>
        </is>
      </c>
      <c r="G136" t="inlineStr">
        <is>
          <t>Pendiente</t>
        </is>
      </c>
      <c r="H136"/>
      <c r="I136"/>
      <c r="J136"/>
      <c r="K136">
        <f>IF(AND(ISNUMBER(I136),ISNUMBER(J136)),I136*J136/100,"")</f>
      </c>
      <c r="L136"/>
    </row>
    <row r="137">
      <c r="A137"/>
      <c r="B137"/>
      <c r="C137"/>
      <c r="D137"/>
      <c r="E137"/>
      <c r="F137" t="inlineStr">
        <is>
          <t>No empezada</t>
        </is>
      </c>
      <c r="G137" t="inlineStr">
        <is>
          <t>Pendiente</t>
        </is>
      </c>
      <c r="H137"/>
      <c r="I137"/>
      <c r="J137"/>
      <c r="K137">
        <f>IF(AND(ISNUMBER(I137),ISNUMBER(J137)),I137*J137/100,"")</f>
      </c>
      <c r="L137"/>
    </row>
    <row r="138">
      <c r="A138"/>
      <c r="B138"/>
      <c r="C138"/>
      <c r="D138"/>
      <c r="E138"/>
      <c r="F138" t="inlineStr">
        <is>
          <t>No empezada</t>
        </is>
      </c>
      <c r="G138" t="inlineStr">
        <is>
          <t>Pendiente</t>
        </is>
      </c>
      <c r="H138"/>
      <c r="I138"/>
      <c r="J138"/>
      <c r="K138">
        <f>IF(AND(ISNUMBER(I138),ISNUMBER(J138)),I138*J138/100,"")</f>
      </c>
      <c r="L138"/>
    </row>
    <row r="139">
      <c r="A139"/>
      <c r="B139"/>
      <c r="C139"/>
      <c r="D139"/>
      <c r="E139"/>
      <c r="F139" t="inlineStr">
        <is>
          <t>No empezada</t>
        </is>
      </c>
      <c r="G139" t="inlineStr">
        <is>
          <t>Pendiente</t>
        </is>
      </c>
      <c r="H139"/>
      <c r="I139"/>
      <c r="J139"/>
      <c r="K139">
        <f>IF(AND(ISNUMBER(I139),ISNUMBER(J139)),I139*J139/100,"")</f>
      </c>
      <c r="L139"/>
    </row>
    <row r="140">
      <c r="A140"/>
      <c r="B140"/>
      <c r="C140"/>
      <c r="D140"/>
      <c r="E140"/>
      <c r="F140" t="inlineStr">
        <is>
          <t>No empezada</t>
        </is>
      </c>
      <c r="G140" t="inlineStr">
        <is>
          <t>Pendiente</t>
        </is>
      </c>
      <c r="H140"/>
      <c r="I140"/>
      <c r="J140"/>
      <c r="K140">
        <f>IF(AND(ISNUMBER(I140),ISNUMBER(J140)),I140*J140/100,"")</f>
      </c>
      <c r="L140"/>
    </row>
    <row r="141">
      <c r="A141"/>
      <c r="B141"/>
      <c r="C141"/>
      <c r="D141"/>
      <c r="E141"/>
      <c r="F141" t="inlineStr">
        <is>
          <t>No empezada</t>
        </is>
      </c>
      <c r="G141" t="inlineStr">
        <is>
          <t>Pendiente</t>
        </is>
      </c>
      <c r="H141"/>
      <c r="I141"/>
      <c r="J141"/>
      <c r="K141">
        <f>IF(AND(ISNUMBER(I141),ISNUMBER(J141)),I141*J141/100,"")</f>
      </c>
      <c r="L141"/>
    </row>
    <row r="142">
      <c r="A142"/>
      <c r="B142"/>
      <c r="C142"/>
      <c r="D142"/>
      <c r="E142"/>
      <c r="F142" t="inlineStr">
        <is>
          <t>No empezada</t>
        </is>
      </c>
      <c r="G142" t="inlineStr">
        <is>
          <t>Pendiente</t>
        </is>
      </c>
      <c r="H142"/>
      <c r="I142"/>
      <c r="J142"/>
      <c r="K142">
        <f>IF(AND(ISNUMBER(I142),ISNUMBER(J142)),I142*J142/100,"")</f>
      </c>
      <c r="L142"/>
    </row>
    <row r="143">
      <c r="A143"/>
      <c r="B143"/>
      <c r="C143"/>
      <c r="D143"/>
      <c r="E143"/>
      <c r="F143" t="inlineStr">
        <is>
          <t>No empezada</t>
        </is>
      </c>
      <c r="G143" t="inlineStr">
        <is>
          <t>Pendiente</t>
        </is>
      </c>
      <c r="H143"/>
      <c r="I143"/>
      <c r="J143"/>
      <c r="K143">
        <f>IF(AND(ISNUMBER(I143),ISNUMBER(J143)),I143*J143/100,"")</f>
      </c>
      <c r="L143"/>
    </row>
    <row r="144">
      <c r="A144"/>
      <c r="B144"/>
      <c r="C144"/>
      <c r="D144"/>
      <c r="E144"/>
      <c r="F144" t="inlineStr">
        <is>
          <t>No empezada</t>
        </is>
      </c>
      <c r="G144" t="inlineStr">
        <is>
          <t>Pendiente</t>
        </is>
      </c>
      <c r="H144"/>
      <c r="I144"/>
      <c r="J144"/>
      <c r="K144">
        <f>IF(AND(ISNUMBER(I144),ISNUMBER(J144)),I144*J144/100,"")</f>
      </c>
      <c r="L144"/>
    </row>
    <row r="145">
      <c r="A145"/>
      <c r="B145"/>
      <c r="C145"/>
      <c r="D145"/>
      <c r="E145"/>
      <c r="F145" t="inlineStr">
        <is>
          <t>No empezada</t>
        </is>
      </c>
      <c r="G145" t="inlineStr">
        <is>
          <t>Pendiente</t>
        </is>
      </c>
      <c r="H145"/>
      <c r="I145"/>
      <c r="J145"/>
      <c r="K145">
        <f>IF(AND(ISNUMBER(I145),ISNUMBER(J145)),I145*J145/100,"")</f>
      </c>
      <c r="L145"/>
    </row>
    <row r="146">
      <c r="A146"/>
      <c r="B146"/>
      <c r="C146"/>
      <c r="D146"/>
      <c r="E146"/>
      <c r="F146" t="inlineStr">
        <is>
          <t>No empezada</t>
        </is>
      </c>
      <c r="G146" t="inlineStr">
        <is>
          <t>Pendiente</t>
        </is>
      </c>
      <c r="H146"/>
      <c r="I146"/>
      <c r="J146"/>
      <c r="K146">
        <f>IF(AND(ISNUMBER(I146),ISNUMBER(J146)),I146*J146/100,"")</f>
      </c>
      <c r="L146"/>
    </row>
    <row r="147">
      <c r="A147"/>
      <c r="B147"/>
      <c r="C147"/>
      <c r="D147"/>
      <c r="E147"/>
      <c r="F147" t="inlineStr">
        <is>
          <t>No empezada</t>
        </is>
      </c>
      <c r="G147" t="inlineStr">
        <is>
          <t>Pendiente</t>
        </is>
      </c>
      <c r="H147"/>
      <c r="I147"/>
      <c r="J147"/>
      <c r="K147">
        <f>IF(AND(ISNUMBER(I147),ISNUMBER(J147)),I147*J147/100,"")</f>
      </c>
      <c r="L147"/>
    </row>
    <row r="148">
      <c r="A148"/>
      <c r="B148"/>
      <c r="C148"/>
      <c r="D148"/>
      <c r="E148"/>
      <c r="F148" t="inlineStr">
        <is>
          <t>No empezada</t>
        </is>
      </c>
      <c r="G148" t="inlineStr">
        <is>
          <t>Pendiente</t>
        </is>
      </c>
      <c r="H148"/>
      <c r="I148"/>
      <c r="J148"/>
      <c r="K148">
        <f>IF(AND(ISNUMBER(I148),ISNUMBER(J148)),I148*J148/100,"")</f>
      </c>
      <c r="L148"/>
    </row>
    <row r="149">
      <c r="A149"/>
      <c r="B149"/>
      <c r="C149"/>
      <c r="D149"/>
      <c r="E149"/>
      <c r="F149" t="inlineStr">
        <is>
          <t>No empezada</t>
        </is>
      </c>
      <c r="G149" t="inlineStr">
        <is>
          <t>Pendiente</t>
        </is>
      </c>
      <c r="H149"/>
      <c r="I149"/>
      <c r="J149"/>
      <c r="K149">
        <f>IF(AND(ISNUMBER(I149),ISNUMBER(J149)),I149*J149/100,"")</f>
      </c>
      <c r="L149"/>
    </row>
    <row r="150">
      <c r="A150"/>
      <c r="B150"/>
      <c r="C150"/>
      <c r="D150"/>
      <c r="E150"/>
      <c r="F150" t="inlineStr">
        <is>
          <t>No empezada</t>
        </is>
      </c>
      <c r="G150" t="inlineStr">
        <is>
          <t>Pendiente</t>
        </is>
      </c>
      <c r="H150"/>
      <c r="I150"/>
      <c r="J150"/>
      <c r="K150">
        <f>IF(AND(ISNUMBER(I150),ISNUMBER(J150)),I150*J150/100,"")</f>
      </c>
      <c r="L150"/>
    </row>
    <row r="151">
      <c r="A151"/>
      <c r="B151"/>
      <c r="C151"/>
      <c r="D151"/>
      <c r="E151"/>
      <c r="F151" t="inlineStr">
        <is>
          <t>No empezada</t>
        </is>
      </c>
      <c r="G151" t="inlineStr">
        <is>
          <t>Pendiente</t>
        </is>
      </c>
      <c r="H151"/>
      <c r="I151"/>
      <c r="J151"/>
      <c r="K151">
        <f>IF(AND(ISNUMBER(I151),ISNUMBER(J151)),I151*J151/100,"")</f>
      </c>
      <c r="L151"/>
    </row>
    <row r="152">
      <c r="A152"/>
      <c r="B152"/>
      <c r="C152"/>
      <c r="D152"/>
      <c r="E152"/>
      <c r="F152" t="inlineStr">
        <is>
          <t>No empezada</t>
        </is>
      </c>
      <c r="G152" t="inlineStr">
        <is>
          <t>Pendiente</t>
        </is>
      </c>
      <c r="H152"/>
      <c r="I152"/>
      <c r="J152"/>
      <c r="K152">
        <f>IF(AND(ISNUMBER(I152),ISNUMBER(J152)),I152*J152/100,"")</f>
      </c>
      <c r="L152"/>
    </row>
    <row r="153">
      <c r="A153"/>
      <c r="B153"/>
      <c r="C153"/>
      <c r="D153"/>
      <c r="E153"/>
      <c r="F153" t="inlineStr">
        <is>
          <t>No empezada</t>
        </is>
      </c>
      <c r="G153" t="inlineStr">
        <is>
          <t>Pendiente</t>
        </is>
      </c>
      <c r="H153"/>
      <c r="I153"/>
      <c r="J153"/>
      <c r="K153">
        <f>IF(AND(ISNUMBER(I153),ISNUMBER(J153)),I153*J153/100,"")</f>
      </c>
      <c r="L153"/>
    </row>
    <row r="154">
      <c r="A154"/>
      <c r="B154"/>
      <c r="C154"/>
      <c r="D154"/>
      <c r="E154"/>
      <c r="F154" t="inlineStr">
        <is>
          <t>No empezada</t>
        </is>
      </c>
      <c r="G154" t="inlineStr">
        <is>
          <t>Pendiente</t>
        </is>
      </c>
      <c r="H154"/>
      <c r="I154"/>
      <c r="J154"/>
      <c r="K154">
        <f>IF(AND(ISNUMBER(I154),ISNUMBER(J154)),I154*J154/100,"")</f>
      </c>
      <c r="L154"/>
    </row>
    <row r="155">
      <c r="A155"/>
      <c r="B155"/>
      <c r="C155"/>
      <c r="D155"/>
      <c r="E155"/>
      <c r="F155" t="inlineStr">
        <is>
          <t>No empezada</t>
        </is>
      </c>
      <c r="G155" t="inlineStr">
        <is>
          <t>Pendiente</t>
        </is>
      </c>
      <c r="H155"/>
      <c r="I155"/>
      <c r="J155"/>
      <c r="K155">
        <f>IF(AND(ISNUMBER(I155),ISNUMBER(J155)),I155*J155/100,"")</f>
      </c>
      <c r="L155"/>
    </row>
    <row r="156">
      <c r="A156"/>
      <c r="B156"/>
      <c r="C156"/>
      <c r="D156"/>
      <c r="E156"/>
      <c r="F156" t="inlineStr">
        <is>
          <t>No empezada</t>
        </is>
      </c>
      <c r="G156" t="inlineStr">
        <is>
          <t>Pendiente</t>
        </is>
      </c>
      <c r="H156"/>
      <c r="I156"/>
      <c r="J156"/>
      <c r="K156">
        <f>IF(AND(ISNUMBER(I156),ISNUMBER(J156)),I156*J156/100,"")</f>
      </c>
      <c r="L156"/>
    </row>
    <row r="157">
      <c r="A157"/>
      <c r="B157"/>
      <c r="C157"/>
      <c r="D157"/>
      <c r="E157"/>
      <c r="F157" t="inlineStr">
        <is>
          <t>No empezada</t>
        </is>
      </c>
      <c r="G157" t="inlineStr">
        <is>
          <t>Pendiente</t>
        </is>
      </c>
      <c r="H157"/>
      <c r="I157"/>
      <c r="J157"/>
      <c r="K157">
        <f>IF(AND(ISNUMBER(I157),ISNUMBER(J157)),I157*J157/100,"")</f>
      </c>
      <c r="L157"/>
    </row>
    <row r="158">
      <c r="A158"/>
      <c r="B158"/>
      <c r="C158"/>
      <c r="D158"/>
      <c r="E158"/>
      <c r="F158" t="inlineStr">
        <is>
          <t>No empezada</t>
        </is>
      </c>
      <c r="G158" t="inlineStr">
        <is>
          <t>Pendiente</t>
        </is>
      </c>
      <c r="H158"/>
      <c r="I158"/>
      <c r="J158"/>
      <c r="K158">
        <f>IF(AND(ISNUMBER(I158),ISNUMBER(J158)),I158*J158/100,"")</f>
      </c>
      <c r="L158"/>
    </row>
    <row r="159">
      <c r="A159"/>
      <c r="B159"/>
      <c r="C159"/>
      <c r="D159"/>
      <c r="E159"/>
      <c r="F159" t="inlineStr">
        <is>
          <t>No empezada</t>
        </is>
      </c>
      <c r="G159" t="inlineStr">
        <is>
          <t>Pendiente</t>
        </is>
      </c>
      <c r="H159"/>
      <c r="I159"/>
      <c r="J159"/>
      <c r="K159">
        <f>IF(AND(ISNUMBER(I159),ISNUMBER(J159)),I159*J159/100,"")</f>
      </c>
      <c r="L159"/>
    </row>
    <row r="160">
      <c r="A160"/>
      <c r="B160"/>
      <c r="C160"/>
      <c r="D160"/>
      <c r="E160"/>
      <c r="F160" t="inlineStr">
        <is>
          <t>No empezada</t>
        </is>
      </c>
      <c r="G160" t="inlineStr">
        <is>
          <t>Pendiente</t>
        </is>
      </c>
      <c r="H160"/>
      <c r="I160"/>
      <c r="J160"/>
      <c r="K160">
        <f>IF(AND(ISNUMBER(I160),ISNUMBER(J160)),I160*J160/100,"")</f>
      </c>
      <c r="L160"/>
    </row>
    <row r="161">
      <c r="A161"/>
      <c r="B161"/>
      <c r="C161"/>
      <c r="D161"/>
      <c r="E161"/>
      <c r="F161" t="inlineStr">
        <is>
          <t>No empezada</t>
        </is>
      </c>
      <c r="G161" t="inlineStr">
        <is>
          <t>Pendiente</t>
        </is>
      </c>
      <c r="H161"/>
      <c r="I161"/>
      <c r="J161"/>
      <c r="K161">
        <f>IF(AND(ISNUMBER(I161),ISNUMBER(J161)),I161*J161/100,"")</f>
      </c>
      <c r="L161"/>
    </row>
    <row r="162">
      <c r="A162"/>
      <c r="B162"/>
      <c r="C162"/>
      <c r="D162"/>
      <c r="E162"/>
      <c r="F162" t="inlineStr">
        <is>
          <t>No empezada</t>
        </is>
      </c>
      <c r="G162" t="inlineStr">
        <is>
          <t>Pendiente</t>
        </is>
      </c>
      <c r="H162"/>
      <c r="I162"/>
      <c r="J162"/>
      <c r="K162">
        <f>IF(AND(ISNUMBER(I162),ISNUMBER(J162)),I162*J162/100,"")</f>
      </c>
      <c r="L162"/>
    </row>
    <row r="163">
      <c r="A163"/>
      <c r="B163"/>
      <c r="C163"/>
      <c r="D163"/>
      <c r="E163"/>
      <c r="F163" t="inlineStr">
        <is>
          <t>No empezada</t>
        </is>
      </c>
      <c r="G163" t="inlineStr">
        <is>
          <t>Pendiente</t>
        </is>
      </c>
      <c r="H163"/>
      <c r="I163"/>
      <c r="J163"/>
      <c r="K163">
        <f>IF(AND(ISNUMBER(I163),ISNUMBER(J163)),I163*J163/100,"")</f>
      </c>
      <c r="L163"/>
    </row>
    <row r="164">
      <c r="A164"/>
      <c r="B164"/>
      <c r="C164"/>
      <c r="D164"/>
      <c r="E164"/>
      <c r="F164" t="inlineStr">
        <is>
          <t>No empezada</t>
        </is>
      </c>
      <c r="G164" t="inlineStr">
        <is>
          <t>Pendiente</t>
        </is>
      </c>
      <c r="H164"/>
      <c r="I164"/>
      <c r="J164"/>
      <c r="K164">
        <f>IF(AND(ISNUMBER(I164),ISNUMBER(J164)),I164*J164/100,"")</f>
      </c>
      <c r="L164"/>
    </row>
    <row r="165">
      <c r="A165"/>
      <c r="B165"/>
      <c r="C165"/>
      <c r="D165"/>
      <c r="E165"/>
      <c r="F165" t="inlineStr">
        <is>
          <t>No empezada</t>
        </is>
      </c>
      <c r="G165" t="inlineStr">
        <is>
          <t>Pendiente</t>
        </is>
      </c>
      <c r="H165"/>
      <c r="I165"/>
      <c r="J165"/>
      <c r="K165">
        <f>IF(AND(ISNUMBER(I165),ISNUMBER(J165)),I165*J165/100,"")</f>
      </c>
      <c r="L165"/>
    </row>
    <row r="166">
      <c r="A166"/>
      <c r="B166"/>
      <c r="C166"/>
      <c r="D166"/>
      <c r="E166"/>
      <c r="F166" t="inlineStr">
        <is>
          <t>No empezada</t>
        </is>
      </c>
      <c r="G166" t="inlineStr">
        <is>
          <t>Pendiente</t>
        </is>
      </c>
      <c r="H166"/>
      <c r="I166"/>
      <c r="J166"/>
      <c r="K166">
        <f>IF(AND(ISNUMBER(I166),ISNUMBER(J166)),I166*J166/100,"")</f>
      </c>
      <c r="L166"/>
    </row>
    <row r="167">
      <c r="A167"/>
      <c r="B167"/>
      <c r="C167"/>
      <c r="D167"/>
      <c r="E167"/>
      <c r="F167" t="inlineStr">
        <is>
          <t>No empezada</t>
        </is>
      </c>
      <c r="G167" t="inlineStr">
        <is>
          <t>Pendiente</t>
        </is>
      </c>
      <c r="H167"/>
      <c r="I167"/>
      <c r="J167"/>
      <c r="K167">
        <f>IF(AND(ISNUMBER(I167),ISNUMBER(J167)),I167*J167/100,"")</f>
      </c>
      <c r="L167"/>
    </row>
    <row r="168">
      <c r="A168"/>
      <c r="B168"/>
      <c r="C168"/>
      <c r="D168"/>
      <c r="E168"/>
      <c r="F168" t="inlineStr">
        <is>
          <t>No empezada</t>
        </is>
      </c>
      <c r="G168" t="inlineStr">
        <is>
          <t>Pendiente</t>
        </is>
      </c>
      <c r="H168"/>
      <c r="I168"/>
      <c r="J168"/>
      <c r="K168">
        <f>IF(AND(ISNUMBER(I168),ISNUMBER(J168)),I168*J168/100,"")</f>
      </c>
      <c r="L168"/>
    </row>
    <row r="169">
      <c r="A169"/>
      <c r="B169"/>
      <c r="C169"/>
      <c r="D169"/>
      <c r="E169"/>
      <c r="F169" t="inlineStr">
        <is>
          <t>No empezada</t>
        </is>
      </c>
      <c r="G169" t="inlineStr">
        <is>
          <t>Pendiente</t>
        </is>
      </c>
      <c r="H169"/>
      <c r="I169"/>
      <c r="J169"/>
      <c r="K169">
        <f>IF(AND(ISNUMBER(I169),ISNUMBER(J169)),I169*J169/100,"")</f>
      </c>
      <c r="L169"/>
    </row>
    <row r="170">
      <c r="A170"/>
      <c r="B170"/>
      <c r="C170"/>
      <c r="D170"/>
      <c r="E170"/>
      <c r="F170" t="inlineStr">
        <is>
          <t>No empezada</t>
        </is>
      </c>
      <c r="G170" t="inlineStr">
        <is>
          <t>Pendiente</t>
        </is>
      </c>
      <c r="H170"/>
      <c r="I170"/>
      <c r="J170"/>
      <c r="K170">
        <f>IF(AND(ISNUMBER(I170),ISNUMBER(J170)),I170*J170/100,"")</f>
      </c>
      <c r="L170"/>
    </row>
    <row r="171">
      <c r="A171"/>
      <c r="B171"/>
      <c r="C171"/>
      <c r="D171"/>
      <c r="E171"/>
      <c r="F171" t="inlineStr">
        <is>
          <t>No empezada</t>
        </is>
      </c>
      <c r="G171" t="inlineStr">
        <is>
          <t>Pendiente</t>
        </is>
      </c>
      <c r="H171"/>
      <c r="I171"/>
      <c r="J171"/>
      <c r="K171">
        <f>IF(AND(ISNUMBER(I171),ISNUMBER(J171)),I171*J171/100,"")</f>
      </c>
      <c r="L171"/>
    </row>
    <row r="172">
      <c r="A172"/>
      <c r="B172"/>
      <c r="C172"/>
      <c r="D172"/>
      <c r="E172"/>
      <c r="F172" t="inlineStr">
        <is>
          <t>No empezada</t>
        </is>
      </c>
      <c r="G172" t="inlineStr">
        <is>
          <t>Pendiente</t>
        </is>
      </c>
      <c r="H172"/>
      <c r="I172"/>
      <c r="J172"/>
      <c r="K172">
        <f>IF(AND(ISNUMBER(I172),ISNUMBER(J172)),I172*J172/100,"")</f>
      </c>
      <c r="L172"/>
    </row>
    <row r="173">
      <c r="A173"/>
      <c r="B173"/>
      <c r="C173"/>
      <c r="D173"/>
      <c r="E173"/>
      <c r="F173" t="inlineStr">
        <is>
          <t>No empezada</t>
        </is>
      </c>
      <c r="G173" t="inlineStr">
        <is>
          <t>Pendiente</t>
        </is>
      </c>
      <c r="H173"/>
      <c r="I173"/>
      <c r="J173"/>
      <c r="K173">
        <f>IF(AND(ISNUMBER(I173),ISNUMBER(J173)),I173*J173/100,"")</f>
      </c>
      <c r="L173"/>
    </row>
    <row r="174">
      <c r="A174"/>
      <c r="B174"/>
      <c r="C174"/>
      <c r="D174"/>
      <c r="E174"/>
      <c r="F174" t="inlineStr">
        <is>
          <t>No empezada</t>
        </is>
      </c>
      <c r="G174" t="inlineStr">
        <is>
          <t>Pendiente</t>
        </is>
      </c>
      <c r="H174"/>
      <c r="I174"/>
      <c r="J174"/>
      <c r="K174">
        <f>IF(AND(ISNUMBER(I174),ISNUMBER(J174)),I174*J174/100,"")</f>
      </c>
      <c r="L174"/>
    </row>
    <row r="175">
      <c r="A175"/>
      <c r="B175"/>
      <c r="C175"/>
      <c r="D175"/>
      <c r="E175"/>
      <c r="F175" t="inlineStr">
        <is>
          <t>No empezada</t>
        </is>
      </c>
      <c r="G175" t="inlineStr">
        <is>
          <t>Pendiente</t>
        </is>
      </c>
      <c r="H175"/>
      <c r="I175"/>
      <c r="J175"/>
      <c r="K175">
        <f>IF(AND(ISNUMBER(I175),ISNUMBER(J175)),I175*J175/100,"")</f>
      </c>
      <c r="L175"/>
    </row>
    <row r="176">
      <c r="A176"/>
      <c r="B176"/>
      <c r="C176"/>
      <c r="D176"/>
      <c r="E176"/>
      <c r="F176" t="inlineStr">
        <is>
          <t>No empezada</t>
        </is>
      </c>
      <c r="G176" t="inlineStr">
        <is>
          <t>Pendiente</t>
        </is>
      </c>
      <c r="H176"/>
      <c r="I176"/>
      <c r="J176"/>
      <c r="K176">
        <f>IF(AND(ISNUMBER(I176),ISNUMBER(J176)),I176*J176/100,"")</f>
      </c>
      <c r="L176"/>
    </row>
    <row r="177">
      <c r="A177"/>
      <c r="B177"/>
      <c r="C177"/>
      <c r="D177"/>
      <c r="E177"/>
      <c r="F177" t="inlineStr">
        <is>
          <t>No empezada</t>
        </is>
      </c>
      <c r="G177" t="inlineStr">
        <is>
          <t>Pendiente</t>
        </is>
      </c>
      <c r="H177"/>
      <c r="I177"/>
      <c r="J177"/>
      <c r="K177">
        <f>IF(AND(ISNUMBER(I177),ISNUMBER(J177)),I177*J177/100,"")</f>
      </c>
      <c r="L177"/>
    </row>
    <row r="178">
      <c r="A178"/>
      <c r="B178"/>
      <c r="C178"/>
      <c r="D178"/>
      <c r="E178"/>
      <c r="F178" t="inlineStr">
        <is>
          <t>No empezada</t>
        </is>
      </c>
      <c r="G178" t="inlineStr">
        <is>
          <t>Pendiente</t>
        </is>
      </c>
      <c r="H178"/>
      <c r="I178"/>
      <c r="J178"/>
      <c r="K178">
        <f>IF(AND(ISNUMBER(I178),ISNUMBER(J178)),I178*J178/100,"")</f>
      </c>
      <c r="L178"/>
    </row>
    <row r="179">
      <c r="A179"/>
      <c r="B179"/>
      <c r="C179"/>
      <c r="D179"/>
      <c r="E179"/>
      <c r="F179" t="inlineStr">
        <is>
          <t>No empezada</t>
        </is>
      </c>
      <c r="G179" t="inlineStr">
        <is>
          <t>Pendiente</t>
        </is>
      </c>
      <c r="H179"/>
      <c r="I179"/>
      <c r="J179"/>
      <c r="K179">
        <f>IF(AND(ISNUMBER(I179),ISNUMBER(J179)),I179*J179/100,"")</f>
      </c>
      <c r="L179"/>
    </row>
    <row r="180">
      <c r="A180"/>
      <c r="B180"/>
      <c r="C180"/>
      <c r="D180"/>
      <c r="E180"/>
      <c r="F180" t="inlineStr">
        <is>
          <t>No empezada</t>
        </is>
      </c>
      <c r="G180" t="inlineStr">
        <is>
          <t>Pendiente</t>
        </is>
      </c>
      <c r="H180"/>
      <c r="I180"/>
      <c r="J180"/>
      <c r="K180">
        <f>IF(AND(ISNUMBER(I180),ISNUMBER(J180)),I180*J180/100,"")</f>
      </c>
      <c r="L180"/>
    </row>
    <row r="181">
      <c r="A181"/>
      <c r="B181"/>
      <c r="C181"/>
      <c r="D181"/>
      <c r="E181"/>
      <c r="F181" t="inlineStr">
        <is>
          <t>No empezada</t>
        </is>
      </c>
      <c r="G181" t="inlineStr">
        <is>
          <t>Pendiente</t>
        </is>
      </c>
      <c r="H181"/>
      <c r="I181"/>
      <c r="J181"/>
      <c r="K181">
        <f>IF(AND(ISNUMBER(I181),ISNUMBER(J181)),I181*J181/100,"")</f>
      </c>
      <c r="L181"/>
    </row>
    <row r="182">
      <c r="A182"/>
      <c r="B182"/>
      <c r="C182"/>
      <c r="D182"/>
      <c r="E182"/>
      <c r="F182" t="inlineStr">
        <is>
          <t>No empezada</t>
        </is>
      </c>
      <c r="G182" t="inlineStr">
        <is>
          <t>Pendiente</t>
        </is>
      </c>
      <c r="H182"/>
      <c r="I182"/>
      <c r="J182"/>
      <c r="K182">
        <f>IF(AND(ISNUMBER(I182),ISNUMBER(J182)),I182*J182/100,"")</f>
      </c>
      <c r="L182"/>
    </row>
    <row r="183">
      <c r="A183"/>
      <c r="B183"/>
      <c r="C183"/>
      <c r="D183"/>
      <c r="E183"/>
      <c r="F183" t="inlineStr">
        <is>
          <t>No empezada</t>
        </is>
      </c>
      <c r="G183" t="inlineStr">
        <is>
          <t>Pendiente</t>
        </is>
      </c>
      <c r="H183"/>
      <c r="I183"/>
      <c r="J183"/>
      <c r="K183">
        <f>IF(AND(ISNUMBER(I183),ISNUMBER(J183)),I183*J183/100,"")</f>
      </c>
      <c r="L183"/>
    </row>
    <row r="184">
      <c r="A184"/>
      <c r="B184"/>
      <c r="C184"/>
      <c r="D184"/>
      <c r="E184"/>
      <c r="F184" t="inlineStr">
        <is>
          <t>No empezada</t>
        </is>
      </c>
      <c r="G184" t="inlineStr">
        <is>
          <t>Pendiente</t>
        </is>
      </c>
      <c r="H184"/>
      <c r="I184"/>
      <c r="J184"/>
      <c r="K184">
        <f>IF(AND(ISNUMBER(I184),ISNUMBER(J184)),I184*J184/100,"")</f>
      </c>
      <c r="L184"/>
    </row>
    <row r="185">
      <c r="A185"/>
      <c r="B185"/>
      <c r="C185"/>
      <c r="D185"/>
      <c r="E185"/>
      <c r="F185" t="inlineStr">
        <is>
          <t>No empezada</t>
        </is>
      </c>
      <c r="G185" t="inlineStr">
        <is>
          <t>Pendiente</t>
        </is>
      </c>
      <c r="H185"/>
      <c r="I185"/>
      <c r="J185"/>
      <c r="K185">
        <f>IF(AND(ISNUMBER(I185),ISNUMBER(J185)),I185*J185/100,"")</f>
      </c>
      <c r="L185"/>
    </row>
    <row r="186">
      <c r="A186"/>
      <c r="B186"/>
      <c r="C186"/>
      <c r="D186"/>
      <c r="E186"/>
      <c r="F186" t="inlineStr">
        <is>
          <t>No empezada</t>
        </is>
      </c>
      <c r="G186" t="inlineStr">
        <is>
          <t>Pendiente</t>
        </is>
      </c>
      <c r="H186"/>
      <c r="I186"/>
      <c r="J186"/>
      <c r="K186">
        <f>IF(AND(ISNUMBER(I186),ISNUMBER(J186)),I186*J186/100,"")</f>
      </c>
      <c r="L186"/>
    </row>
    <row r="187">
      <c r="A187"/>
      <c r="B187"/>
      <c r="C187"/>
      <c r="D187"/>
      <c r="E187"/>
      <c r="F187" t="inlineStr">
        <is>
          <t>No empezada</t>
        </is>
      </c>
      <c r="G187" t="inlineStr">
        <is>
          <t>Pendiente</t>
        </is>
      </c>
      <c r="H187"/>
      <c r="I187"/>
      <c r="J187"/>
      <c r="K187">
        <f>IF(AND(ISNUMBER(I187),ISNUMBER(J187)),I187*J187/100,"")</f>
      </c>
      <c r="L187"/>
    </row>
    <row r="188">
      <c r="A188"/>
      <c r="B188"/>
      <c r="C188"/>
      <c r="D188"/>
      <c r="E188"/>
      <c r="F188" t="inlineStr">
        <is>
          <t>No empezada</t>
        </is>
      </c>
      <c r="G188" t="inlineStr">
        <is>
          <t>Pendiente</t>
        </is>
      </c>
      <c r="H188"/>
      <c r="I188"/>
      <c r="J188"/>
      <c r="K188">
        <f>IF(AND(ISNUMBER(I188),ISNUMBER(J188)),I188*J188/100,"")</f>
      </c>
      <c r="L188"/>
    </row>
    <row r="189">
      <c r="A189"/>
      <c r="B189"/>
      <c r="C189"/>
      <c r="D189"/>
      <c r="E189"/>
      <c r="F189" t="inlineStr">
        <is>
          <t>No empezada</t>
        </is>
      </c>
      <c r="G189" t="inlineStr">
        <is>
          <t>Pendiente</t>
        </is>
      </c>
      <c r="H189"/>
      <c r="I189"/>
      <c r="J189"/>
      <c r="K189">
        <f>IF(AND(ISNUMBER(I189),ISNUMBER(J189)),I189*J189/100,"")</f>
      </c>
      <c r="L189"/>
    </row>
    <row r="190">
      <c r="A190"/>
      <c r="B190"/>
      <c r="C190"/>
      <c r="D190"/>
      <c r="E190"/>
      <c r="F190" t="inlineStr">
        <is>
          <t>No empezada</t>
        </is>
      </c>
      <c r="G190" t="inlineStr">
        <is>
          <t>Pendiente</t>
        </is>
      </c>
      <c r="H190"/>
      <c r="I190"/>
      <c r="J190"/>
      <c r="K190">
        <f>IF(AND(ISNUMBER(I190),ISNUMBER(J190)),I190*J190/100,"")</f>
      </c>
      <c r="L190"/>
    </row>
    <row r="191">
      <c r="A191"/>
      <c r="B191"/>
      <c r="C191"/>
      <c r="D191"/>
      <c r="E191"/>
      <c r="F191" t="inlineStr">
        <is>
          <t>No empezada</t>
        </is>
      </c>
      <c r="G191" t="inlineStr">
        <is>
          <t>Pendiente</t>
        </is>
      </c>
      <c r="H191"/>
      <c r="I191"/>
      <c r="J191"/>
      <c r="K191">
        <f>IF(AND(ISNUMBER(I191),ISNUMBER(J191)),I191*J191/100,"")</f>
      </c>
      <c r="L191"/>
    </row>
    <row r="192">
      <c r="A192"/>
      <c r="B192"/>
      <c r="C192"/>
      <c r="D192"/>
      <c r="E192"/>
      <c r="F192" t="inlineStr">
        <is>
          <t>No empezada</t>
        </is>
      </c>
      <c r="G192" t="inlineStr">
        <is>
          <t>Pendiente</t>
        </is>
      </c>
      <c r="H192"/>
      <c r="I192"/>
      <c r="J192"/>
      <c r="K192">
        <f>IF(AND(ISNUMBER(I192),ISNUMBER(J192)),I192*J192/100,"")</f>
      </c>
      <c r="L192"/>
    </row>
    <row r="193">
      <c r="A193"/>
      <c r="B193"/>
      <c r="C193"/>
      <c r="D193"/>
      <c r="E193"/>
      <c r="F193" t="inlineStr">
        <is>
          <t>No empezada</t>
        </is>
      </c>
      <c r="G193" t="inlineStr">
        <is>
          <t>Pendiente</t>
        </is>
      </c>
      <c r="H193"/>
      <c r="I193"/>
      <c r="J193"/>
      <c r="K193">
        <f>IF(AND(ISNUMBER(I193),ISNUMBER(J193)),I193*J193/100,"")</f>
      </c>
      <c r="L193"/>
    </row>
    <row r="194">
      <c r="A194"/>
      <c r="B194"/>
      <c r="C194"/>
      <c r="D194"/>
      <c r="E194"/>
      <c r="F194" t="inlineStr">
        <is>
          <t>No empezada</t>
        </is>
      </c>
      <c r="G194" t="inlineStr">
        <is>
          <t>Pendiente</t>
        </is>
      </c>
      <c r="H194"/>
      <c r="I194"/>
      <c r="J194"/>
      <c r="K194">
        <f>IF(AND(ISNUMBER(I194),ISNUMBER(J194)),I194*J194/100,"")</f>
      </c>
      <c r="L194"/>
    </row>
    <row r="195">
      <c r="A195"/>
      <c r="B195"/>
      <c r="C195"/>
      <c r="D195"/>
      <c r="E195"/>
      <c r="F195" t="inlineStr">
        <is>
          <t>No empezada</t>
        </is>
      </c>
      <c r="G195" t="inlineStr">
        <is>
          <t>Pendiente</t>
        </is>
      </c>
      <c r="H195"/>
      <c r="I195"/>
      <c r="J195"/>
      <c r="K195">
        <f>IF(AND(ISNUMBER(I195),ISNUMBER(J195)),I195*J195/100,"")</f>
      </c>
      <c r="L195"/>
    </row>
    <row r="196">
      <c r="A196"/>
      <c r="B196"/>
      <c r="C196"/>
      <c r="D196"/>
      <c r="E196"/>
      <c r="F196" t="inlineStr">
        <is>
          <t>No empezada</t>
        </is>
      </c>
      <c r="G196" t="inlineStr">
        <is>
          <t>Pendiente</t>
        </is>
      </c>
      <c r="H196"/>
      <c r="I196"/>
      <c r="J196"/>
      <c r="K196">
        <f>IF(AND(ISNUMBER(I196),ISNUMBER(J196)),I196*J196/100,"")</f>
      </c>
      <c r="L196"/>
    </row>
    <row r="197">
      <c r="A197"/>
      <c r="B197"/>
      <c r="C197"/>
      <c r="D197"/>
      <c r="E197"/>
      <c r="F197" t="inlineStr">
        <is>
          <t>No empezada</t>
        </is>
      </c>
      <c r="G197" t="inlineStr">
        <is>
          <t>Pendiente</t>
        </is>
      </c>
      <c r="H197"/>
      <c r="I197"/>
      <c r="J197"/>
      <c r="K197">
        <f>IF(AND(ISNUMBER(I197),ISNUMBER(J197)),I197*J197/100,"")</f>
      </c>
      <c r="L197"/>
    </row>
    <row r="198">
      <c r="A198"/>
      <c r="B198"/>
      <c r="C198"/>
      <c r="D198"/>
      <c r="E198"/>
      <c r="F198" t="inlineStr">
        <is>
          <t>No empezada</t>
        </is>
      </c>
      <c r="G198" t="inlineStr">
        <is>
          <t>Pendiente</t>
        </is>
      </c>
      <c r="H198"/>
      <c r="I198"/>
      <c r="J198"/>
      <c r="K198">
        <f>IF(AND(ISNUMBER(I198),ISNUMBER(J198)),I198*J198/100,"")</f>
      </c>
      <c r="L198"/>
    </row>
    <row r="199">
      <c r="A199"/>
      <c r="B199"/>
      <c r="C199"/>
      <c r="D199"/>
      <c r="E199"/>
      <c r="F199" t="inlineStr">
        <is>
          <t>No empezada</t>
        </is>
      </c>
      <c r="G199" t="inlineStr">
        <is>
          <t>Pendiente</t>
        </is>
      </c>
      <c r="H199"/>
      <c r="I199"/>
      <c r="J199"/>
      <c r="K199">
        <f>IF(AND(ISNUMBER(I199),ISNUMBER(J199)),I199*J199/100,"")</f>
      </c>
      <c r="L199"/>
    </row>
    <row r="200">
      <c r="A200"/>
      <c r="B200"/>
      <c r="C200"/>
      <c r="D200"/>
      <c r="E200"/>
      <c r="F200" t="inlineStr">
        <is>
          <t>No empezada</t>
        </is>
      </c>
      <c r="G200" t="inlineStr">
        <is>
          <t>Pendiente</t>
        </is>
      </c>
      <c r="H200"/>
      <c r="I200"/>
      <c r="J200"/>
      <c r="K200">
        <f>IF(AND(ISNUMBER(I200),ISNUMBER(J200)),I200*J200/100,"")</f>
      </c>
      <c r="L200"/>
    </row>
    <row r="201">
      <c r="A201"/>
      <c r="B201"/>
      <c r="C201"/>
      <c r="D201"/>
      <c r="E201"/>
      <c r="F201" t="inlineStr">
        <is>
          <t>No empezada</t>
        </is>
      </c>
      <c r="G201" t="inlineStr">
        <is>
          <t>Pendiente</t>
        </is>
      </c>
      <c r="H201"/>
      <c r="I201"/>
      <c r="J201"/>
      <c r="K201">
        <f>IF(AND(ISNUMBER(I201),ISNUMBER(J201)),I201*J201/100,"")</f>
      </c>
      <c r="L201"/>
    </row>
  </sheetData>
  <autoFilter ref="A1:L201"/>
  <dataValidations count="2">
    <dataValidation type="list" allowBlank="1" showErrorMessage="1" sqref="F2:F300">
      <formula1>"No empezada,En curso,Entregada,No entregada"</formula1>
    </dataValidation>
    <dataValidation type="list" allowBlank="1" showErrorMessage="1" sqref="G2:G300">
      <formula1>"Pendiente,En corrección,Corregida,Devuelta"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dimension ref="A1:B25"/>
  <sheetViews>
    <sheetView workbookViewId="0">
      <pane ySplit="1" topLeftCell="A2" activePane="bottomLeft" state="frozen"/>
    </sheetView>
  </sheetViews>
  <cols>
    <col min="1" max="1" width="12" customWidth="1"/>
    <col min="2" max="2" width="100" customWidth="1"/>
  </cols>
  <sheetFormatPr defaultRowHeight="15"/>
  <sheetData>
    <row r="1">
      <c r="A1" t="inlineStr" s="1">
        <is>
          <t>Código</t>
        </is>
      </c>
      <c r="B1" t="inlineStr" s="1">
        <is>
          <t>Descripción</t>
        </is>
      </c>
    </row>
    <row r="2">
      <c r="A2" t="inlineStr">
        <is>
          <t>RA1</t>
        </is>
      </c>
      <c r="B2" t="inlineStr">
        <is>
          <t>Caracteriza lenguajes de programación valorando su idoneidad en IA.</t>
        </is>
      </c>
    </row>
    <row r="3">
      <c r="A3" t="inlineStr">
        <is>
          <t>RA1.a</t>
        </is>
      </c>
      <c r="B3" t="inlineStr">
        <is>
          <t>Identifica la estructura de un programa informático.</t>
        </is>
      </c>
    </row>
    <row r="4">
      <c r="A4" t="inlineStr">
        <is>
          <t>RA1.b</t>
        </is>
      </c>
      <c r="B4" t="inlineStr">
        <is>
          <t>Valora características de lenguajes según el tipo de aplicación.</t>
        </is>
      </c>
    </row>
    <row r="5">
      <c r="A5" t="inlineStr">
        <is>
          <t>RA1.c</t>
        </is>
      </c>
      <c r="B5" t="inlineStr">
        <is>
          <t>Determina el lenguaje más apropiado para la aplicación.</t>
        </is>
      </c>
    </row>
    <row r="6">
      <c r="A6" t="inlineStr">
        <is>
          <t>RA1.d</t>
        </is>
      </c>
      <c r="B6" t="inlineStr">
        <is>
          <t>Valora características de lenguajes para IA.</t>
        </is>
      </c>
    </row>
    <row r="7">
      <c r="A7" t="inlineStr">
        <is>
          <t>RA1.e</t>
        </is>
      </c>
      <c r="B7" t="inlineStr">
        <is>
          <t>Determina el lenguaje más apropiado para una aplicación de IA.</t>
        </is>
      </c>
    </row>
    <row r="8">
      <c r="A8" t="inlineStr">
        <is>
          <t>RA1.f</t>
        </is>
      </c>
      <c r="B8" t="inlineStr">
        <is>
          <t>Caracteriza lenguajes de marcado y la información de sus etiquetas.</t>
        </is>
      </c>
    </row>
    <row r="9">
      <c r="A9" t="inlineStr">
        <is>
          <t>RA2</t>
        </is>
      </c>
      <c r="B9" t="inlineStr">
        <is>
          <t>Desarrolla aplicaciones de IA utilizando entornos de modelado.</t>
        </is>
      </c>
    </row>
    <row r="10">
      <c r="A10" t="inlineStr">
        <is>
          <t>RA2.a</t>
        </is>
      </c>
      <c r="B10" t="inlineStr">
        <is>
          <t>Evalúa plataformas de Inteligencia Artificial.</t>
        </is>
      </c>
    </row>
    <row r="11">
      <c r="A11" t="inlineStr">
        <is>
          <t>RA2.b</t>
        </is>
      </c>
      <c r="B11" t="inlineStr">
        <is>
          <t>Caracteriza entornos de modelado de aplicaciones de IA.</t>
        </is>
      </c>
    </row>
    <row r="12">
      <c r="A12" t="inlineStr">
        <is>
          <t>RA2.c</t>
        </is>
      </c>
      <c r="B12" t="inlineStr">
        <is>
          <t>Define el modelo según el problema planteado.</t>
        </is>
      </c>
    </row>
    <row r="13">
      <c r="A13" t="inlineStr">
        <is>
          <t>RA2.d</t>
        </is>
      </c>
      <c r="B13" t="inlineStr">
        <is>
          <t>Implementa la aplicación de Inteligencia Artificial.</t>
        </is>
      </c>
    </row>
    <row r="14">
      <c r="A14" t="inlineStr">
        <is>
          <t>RA2.e</t>
        </is>
      </c>
      <c r="B14" t="inlineStr">
        <is>
          <t>Evalúa los resultados obtenidos.</t>
        </is>
      </c>
    </row>
    <row r="15">
      <c r="A15" t="inlineStr">
        <is>
          <t>RA3</t>
        </is>
      </c>
      <c r="B15" t="inlineStr">
        <is>
          <t>Evalúa mejoras en negocios integrando convergencia tecnológica.</t>
        </is>
      </c>
    </row>
    <row r="16">
      <c r="A16" t="inlineStr">
        <is>
          <t>RA3.a</t>
        </is>
      </c>
      <c r="B16" t="inlineStr">
        <is>
          <t>Identifica ventajas de unificar procesos, servicios, herramientas, métodos y sectores.</t>
        </is>
      </c>
    </row>
    <row r="17">
      <c r="A17" t="inlineStr">
        <is>
          <t>RA3.b</t>
        </is>
      </c>
      <c r="B17" t="inlineStr">
        <is>
          <t>Identifica sistemas que facilitan la conexión tecnológica.</t>
        </is>
      </c>
    </row>
    <row r="18">
      <c r="A18" t="inlineStr">
        <is>
          <t>RA3.c</t>
        </is>
      </c>
      <c r="B18" t="inlineStr">
        <is>
          <t>Evalúa características de dichos sistemas.</t>
        </is>
      </c>
    </row>
    <row r="19">
      <c r="A19" t="inlineStr">
        <is>
          <t>RA3.d</t>
        </is>
      </c>
      <c r="B19" t="inlineStr">
        <is>
          <t>Evalúa cómo la convergencia tecnológica aporta seguridad en los negocios.</t>
        </is>
      </c>
    </row>
    <row r="20">
      <c r="A20" t="inlineStr">
        <is>
          <t>RA3.e</t>
        </is>
      </c>
      <c r="B20" t="inlineStr">
        <is>
          <t>Evalúa la mejora en la toma de decisiones estratégicas en un negocio conectado.</t>
        </is>
      </c>
    </row>
    <row r="21">
      <c r="A21" t="inlineStr">
        <is>
          <t>RA4</t>
        </is>
      </c>
      <c r="B21" t="inlineStr">
        <is>
          <t>Evalúa modelos de automatización industrial y de negocio.</t>
        </is>
      </c>
    </row>
    <row r="22">
      <c r="A22" t="inlineStr">
        <is>
          <t>RA4.a</t>
        </is>
      </c>
      <c r="B22" t="inlineStr">
        <is>
          <t>Identifica estrategias corporativas y modelos de negocio.</t>
        </is>
      </c>
    </row>
    <row r="23">
      <c r="A23" t="inlineStr">
        <is>
          <t>RA4.b</t>
        </is>
      </c>
      <c r="B23" t="inlineStr">
        <is>
          <t>Define relación empresa-cliente y gestión de activos/recursos.</t>
        </is>
      </c>
    </row>
    <row r="24">
      <c r="A24" t="inlineStr">
        <is>
          <t>RA4.c</t>
        </is>
      </c>
      <c r="B24" t="inlineStr">
        <is>
          <t>Evalúa modelos de automatización para requerimientos industriales y de negocio.</t>
        </is>
      </c>
    </row>
    <row r="25">
      <c r="A25" t="inlineStr">
        <is>
          <t>RA4.d</t>
        </is>
      </c>
      <c r="B25" t="inlineStr">
        <is>
          <t>Evalúa la conveniencia de cada modelo para conseguir resultados esperados.</t>
        </is>
      </c>
    </row>
  </sheetData>
  <autoFilter ref="A1:B25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</sheetView>
  </sheetViews>
  <cols>
    <col min="1" max="1" width="28" customWidth="1"/>
    <col min="2" max="2" width="90" customWidth="1"/>
  </cols>
  <sheetFormatPr defaultRowHeight="15"/>
  <sheetData>
    <row r="1">
      <c r="A1" t="inlineStr" s="1">
        <is>
          <t>Campo</t>
        </is>
      </c>
      <c r="B1" t="inlineStr" s="1">
        <is>
          <t>Valores</t>
        </is>
      </c>
    </row>
    <row r="2">
      <c r="A2" t="inlineStr">
        <is>
          <t>Estado impartición</t>
        </is>
      </c>
      <c r="B2" t="inlineStr">
        <is>
          <t>Pendiente; En curso; Impartido; Reforzar; Omitido</t>
        </is>
      </c>
    </row>
    <row r="3">
      <c r="A3" t="inlineStr">
        <is>
          <t>Evalúa</t>
        </is>
      </c>
      <c r="B3" t="inlineStr">
        <is>
          <t>Sí; No; Revisar</t>
        </is>
      </c>
    </row>
    <row r="4">
      <c r="A4" t="inlineStr">
        <is>
          <t>Estado actividad</t>
        </is>
      </c>
      <c r="B4" t="inlineStr">
        <is>
          <t>Pendiente; En curso; Entregada; Corregida; Devuelta; Archivada</t>
        </is>
      </c>
    </row>
    <row r="5">
      <c r="A5" t="inlineStr">
        <is>
          <t>Estado entrega</t>
        </is>
      </c>
      <c r="B5" t="inlineStr">
        <is>
          <t>No empezada; En curso; Entregada; No entregada</t>
        </is>
      </c>
    </row>
    <row r="6">
      <c r="A6" t="inlineStr">
        <is>
          <t>Estado corrección</t>
        </is>
      </c>
      <c r="B6" t="inlineStr">
        <is>
          <t>Pendiente; En corrección; Corregida; Devuelta</t>
        </is>
      </c>
    </row>
  </sheetData>
  <autoFilter ref="A1:B6"/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Seguimiento curso PIA por CE</dc:title>
  <dc:creator>IES Rafael Alberti</dc:creator>
  <cp:lastModifiedBy>IES Rafael Alberti</cp:lastModifiedBy>
  <dcterms:created xsi:type="dcterms:W3CDTF">2026-07-06T00:00:00Z</dcterms:created>
  <dcterms:modified xsi:type="dcterms:W3CDTF">2026-07-06T00:00:00Z</dcterms:modified>
</cp:coreProperties>
</file>